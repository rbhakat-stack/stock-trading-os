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rade Log" sheetId="2" state="visible" r:id="rId4"/>
    <sheet name="Setups Reference" sheetId="3" state="visible" r:id="rId5"/>
    <sheet name="Stats &amp; Progres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<sst xmlns="http://schemas.openxmlformats.org/spreadsheetml/2006/main" count="124" uniqueCount="95">
  <si>
    <t xml:space="preserve">Stock Trading Masterclass — Trading Journal</t>
  </si>
  <si>
    <t xml:space="preserve">Paper-trading log built from the graduation criteria in your curriculum notes</t>
  </si>
  <si>
    <t xml:space="preserve">How to use this workbook</t>
  </si>
  <si>
    <t xml:space="preserve">1. Log every paper trade in the 'Trade Log' tab, one row per trade.</t>
  </si>
  <si>
    <t xml:space="preserve">2. Fill only the yellow cells (Entry, Stop, Target, Exit, and the descriptive fields). Everything else calculates automatically.</t>
  </si>
  <si>
    <t xml:space="preserve">3. Use the 'Setup' dropdown — it's pulled directly from your Week 5/6 curriculum setups so every trade is tagged to a taught pattern.</t>
  </si>
  <si>
    <t xml:space="preserve">4. Check 'Stats &amp; Progress' after each session — it tracks win rate, expectancy, profit factor, drawdown and rule adherence against your program's graduation targets.</t>
  </si>
  <si>
    <t xml:space="preserve">5. Update 'Rule Adherence' honestly (Y/N) for every trade — 90%+ adherence is a graduation requirement, not optional.</t>
  </si>
  <si>
    <t xml:space="preserve">Column reference</t>
  </si>
  <si>
    <t xml:space="preserve">R-Multiple</t>
  </si>
  <si>
    <t xml:space="preserve">Profit or loss expressed as a multiple of initial risk: (Exit − Entry) / (Entry − Stop) for longs, reversed for shorts. This is how your course wants trades judged — by process/statistics, not raw dollars.</t>
  </si>
  <si>
    <t xml:space="preserve">Expectancy</t>
  </si>
  <si>
    <t xml:space="preserve">Average R per trade: (Win% × Avg Win R) − (Loss% × Avg Loss R). Positive expectancy over a meaningful sample is a graduation requirement.</t>
  </si>
  <si>
    <t xml:space="preserve">Profit Factor</t>
  </si>
  <si>
    <t xml:space="preserve">Gross profit ÷ gross loss. Your notes require this above 1.</t>
  </si>
  <si>
    <t xml:space="preserve">Tabs in this workbook</t>
  </si>
  <si>
    <t xml:space="preserve">Trade Log</t>
  </si>
  <si>
    <t xml:space="preserve">One row per paper trade — the source data for everything else.</t>
  </si>
  <si>
    <t xml:space="preserve">Stats &amp; Progress</t>
  </si>
  <si>
    <t xml:space="preserve">Auto-calculated performance stats plus a live checklist against your graduation criteria.</t>
  </si>
  <si>
    <t xml:space="preserve">Setups Reference</t>
  </si>
  <si>
    <t xml:space="preserve">The approved setups from Weeks 5-6 of your curriculum, so every trade log entry ties back to a taught pattern rather than an improvised one.</t>
  </si>
  <si>
    <t xml:space="preserve">Trade #</t>
  </si>
  <si>
    <t xml:space="preserve">Date</t>
  </si>
  <si>
    <t xml:space="preserve">Setup</t>
  </si>
  <si>
    <t xml:space="preserve">Ticker</t>
  </si>
  <si>
    <t xml:space="preserve">Direction</t>
  </si>
  <si>
    <t xml:space="preserve">Entry</t>
  </si>
  <si>
    <t xml:space="preserve">Stop</t>
  </si>
  <si>
    <t xml:space="preserve">Target</t>
  </si>
  <si>
    <t xml:space="preserve">Exit</t>
  </si>
  <si>
    <t xml:space="preserve">Shares</t>
  </si>
  <si>
    <t xml:space="preserve">$ Risked</t>
  </si>
  <si>
    <t xml:space="preserve">Outcome</t>
  </si>
  <si>
    <t xml:space="preserve">P&amp;L ($)</t>
  </si>
  <si>
    <t xml:space="preserve">Rule Adherence (Y/N)</t>
  </si>
  <si>
    <t xml:space="preserve">Mistakes / Corrections</t>
  </si>
  <si>
    <t xml:space="preserve">Notes / Screenshot Link</t>
  </si>
  <si>
    <t xml:space="preserve">2026-08-27</t>
  </si>
  <si>
    <t xml:space="preserve">Opening Range Breakout</t>
  </si>
  <si>
    <t xml:space="preserve">SPY</t>
  </si>
  <si>
    <t xml:space="preserve">Long</t>
  </si>
  <si>
    <t xml:space="preserve">Y</t>
  </si>
  <si>
    <t xml:space="preserve">None — followed plan exactly.</t>
  </si>
  <si>
    <t xml:space="preserve">Example row — replace with your first real paper trade.</t>
  </si>
  <si>
    <t xml:space="preserve">Type</t>
  </si>
  <si>
    <t xml:space="preserve">Week Taught</t>
  </si>
  <si>
    <t xml:space="preserve">Trend Pullback</t>
  </si>
  <si>
    <t xml:space="preserve">Swing</t>
  </si>
  <si>
    <t xml:space="preserve">Week 5</t>
  </si>
  <si>
    <t xml:space="preserve">Consolidation Breakout</t>
  </si>
  <si>
    <t xml:space="preserve">Relative Strength</t>
  </si>
  <si>
    <t xml:space="preserve">Earnings Continuation</t>
  </si>
  <si>
    <t xml:space="preserve">Failed Breakdown</t>
  </si>
  <si>
    <t xml:space="preserve">Mean Reversion</t>
  </si>
  <si>
    <t xml:space="preserve">Intraday</t>
  </si>
  <si>
    <t xml:space="preserve">Week 6</t>
  </si>
  <si>
    <t xml:space="preserve">Opening Drive</t>
  </si>
  <si>
    <t xml:space="preserve">VWAP Reclaim</t>
  </si>
  <si>
    <t xml:space="preserve">VWAP Rejection</t>
  </si>
  <si>
    <t xml:space="preserve">First Pullback</t>
  </si>
  <si>
    <t xml:space="preserve">Trend Day</t>
  </si>
  <si>
    <t xml:space="preserve">Range Day</t>
  </si>
  <si>
    <t xml:space="preserve">Gap-and-Go</t>
  </si>
  <si>
    <t xml:space="preserve">Other / Discretionary (flag for review)</t>
  </si>
  <si>
    <t xml:space="preserve">N/A</t>
  </si>
  <si>
    <t xml:space="preserve">Source: Weekly Curriculum table, Week 5 (Swing Trading Setups) and Week 6 (Intraday Trading Setups), from your course notes.</t>
  </si>
  <si>
    <t xml:space="preserve">Performance Stats</t>
  </si>
  <si>
    <t xml:space="preserve">Auto-calculated from the Trade Log — log trades there, this tab updates itself.</t>
  </si>
  <si>
    <t xml:space="preserve">Total trades logged</t>
  </si>
  <si>
    <t xml:space="preserve">Wins</t>
  </si>
  <si>
    <t xml:space="preserve">Losses</t>
  </si>
  <si>
    <t xml:space="preserve">Breakevens</t>
  </si>
  <si>
    <t xml:space="preserve">Win rate</t>
  </si>
  <si>
    <t xml:space="preserve">Average win (R)</t>
  </si>
  <si>
    <t xml:space="preserve">Average loss (R)</t>
  </si>
  <si>
    <t xml:space="preserve">Payoff ratio (avg win / avg |loss|)</t>
  </si>
  <si>
    <t xml:space="preserve">Expectancy (R per trade)</t>
  </si>
  <si>
    <t xml:space="preserve">Gross profit ($)</t>
  </si>
  <si>
    <t xml:space="preserve">Gross loss ($)</t>
  </si>
  <si>
    <t xml:space="preserve">Profit factor</t>
  </si>
  <si>
    <t xml:space="preserve">Net P&amp;L ($)</t>
  </si>
  <si>
    <t xml:space="preserve">Rule adherence rate</t>
  </si>
  <si>
    <t xml:space="preserve">Graduation Criteria (from your course notes)</t>
  </si>
  <si>
    <t xml:space="preserve">Criterion</t>
  </si>
  <si>
    <t xml:space="preserve">Current</t>
  </si>
  <si>
    <t xml:space="preserve">Met?</t>
  </si>
  <si>
    <t xml:space="preserve">100-150+ documented simulated trades</t>
  </si>
  <si>
    <t xml:space="preserve">≥ 100</t>
  </si>
  <si>
    <t xml:space="preserve">Positive expectancy over a meaningful sample</t>
  </si>
  <si>
    <t xml:space="preserve">&gt; 0R</t>
  </si>
  <si>
    <t xml:space="preserve">Profit factor above 1</t>
  </si>
  <si>
    <t xml:space="preserve">&gt; 1.00</t>
  </si>
  <si>
    <t xml:space="preserve">At least 90% rule adherence</t>
  </si>
  <si>
    <t xml:space="preserve">≥ 90%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</si>
</sst>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General"/>
    <numFmt numFmtId="166" formatCode="yyyy\-mm\-dd"/>
    <numFmt numFmtId="167" formatCode="\$#,##0.00"/>
    <numFmt numFmtId="168" formatCode="\$#,##0"/>
    <numFmt numFmtId="169" formatCode="0.00\R"/>
    <numFmt numFmtId="170" formatCode="\$#,##0;&quot;($&quot;#,##0\);\-"/>
    <numFmt numFmtId="171" formatCode="0"/>
    <numFmt numFmtId="172" formatCode="0.0%"/>
    <numFmt numFmtId="173" formatCode="0.00"/>
    <numFmt numFmtId="174" formatCode="\$#,##0;&quot;($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</row>
    <row r="6" customFormat="false" ht="27.75" hidden="false" customHeight="true" outlineLevel="0" collapsed="false">
      <c r="B6" s="4" t="s">
        <v>3</v>
      </c>
    </row>
    <row r="7" customFormat="false" ht="27.75" hidden="false" customHeight="true" outlineLevel="0" collapsed="false">
      <c r="B7" s="4" t="s">
        <v>4</v>
      </c>
    </row>
    <row r="8" customFormat="false" ht="27.75" hidden="false" customHeight="true" outlineLevel="0" collapsed="false">
      <c r="B8" s="4" t="s">
        <v>5</v>
      </c>
    </row>
    <row r="9" customFormat="false" ht="27.75" hidden="false" customHeight="true" outlineLevel="0" collapsed="false">
      <c r="B9" s="4" t="s">
        <v>6</v>
      </c>
    </row>
    <row r="10" customFormat="false" ht="27.75" hidden="false" customHeight="true" outlineLevel="0" collapsed="false">
      <c r="B10" s="4" t="s">
        <v>7</v>
      </c>
    </row>
    <row r="11" customFormat="false" ht="27.75" hidden="false" customHeight="true" outlineLevel="0" collapsed="false">
      <c r="B11" s="4"/>
    </row>
    <row r="12" customFormat="false" ht="19.5" hidden="false" customHeight="true" outlineLevel="0" collapsed="false">
      <c r="B12" s="3" t="s">
        <v>8</v>
      </c>
    </row>
    <row r="13" customFormat="false" ht="27.75" hidden="false" customHeight="true" outlineLevel="0" collapsed="false">
      <c r="B13" s="5" t="s">
        <v>9</v>
      </c>
    </row>
    <row r="14" customFormat="false" ht="27.75" hidden="false" customHeight="true" outlineLevel="0" collapsed="false">
      <c r="B14" s="4" t="s">
        <v>10</v>
      </c>
    </row>
    <row r="15" customFormat="false" ht="27.75" hidden="false" customHeight="true" outlineLevel="0" collapsed="false">
      <c r="B15" s="5" t="s">
        <v>11</v>
      </c>
    </row>
    <row r="16" customFormat="false" ht="27.75" hidden="false" customHeight="true" outlineLevel="0" collapsed="false">
      <c r="B16" s="4" t="s">
        <v>12</v>
      </c>
    </row>
    <row r="17" customFormat="false" ht="27.75" hidden="false" customHeight="true" outlineLevel="0" collapsed="false">
      <c r="B17" s="5" t="s">
        <v>13</v>
      </c>
    </row>
    <row r="18" customFormat="false" ht="27.75" hidden="false" customHeight="true" outlineLevel="0" collapsed="false">
      <c r="B18" s="4" t="s">
        <v>14</v>
      </c>
    </row>
    <row r="19" customFormat="false" ht="27.75" hidden="false" customHeight="true" outlineLevel="0" collapsed="false">
      <c r="B19" s="4"/>
    </row>
    <row r="20" customFormat="false" ht="19.5" hidden="false" customHeight="true" outlineLevel="0" collapsed="false">
      <c r="B20" s="3" t="s">
        <v>15</v>
      </c>
    </row>
    <row r="21" customFormat="false" ht="27.75" hidden="false" customHeight="true" outlineLevel="0" collapsed="false">
      <c r="B21" s="5" t="s">
        <v>16</v>
      </c>
    </row>
    <row r="22" customFormat="false" ht="27.75" hidden="false" customHeight="true" outlineLevel="0" collapsed="false">
      <c r="B22" s="4" t="s">
        <v>17</v>
      </c>
    </row>
    <row r="23" customFormat="false" ht="27.75" hidden="false" customHeight="true" outlineLevel="0" collapsed="false">
      <c r="B23" s="5" t="s">
        <v>18</v>
      </c>
    </row>
    <row r="24" customFormat="false" ht="27.75" hidden="false" customHeight="true" outlineLevel="0" collapsed="false">
      <c r="B24" s="4" t="s">
        <v>19</v>
      </c>
    </row>
    <row r="25" customFormat="false" ht="27.75" hidden="false" customHeight="true" outlineLevel="0" collapsed="false">
      <c r="B25" s="5" t="s">
        <v>20</v>
      </c>
    </row>
    <row r="26" customFormat="false" ht="27.75" hidden="false" customHeight="true" outlineLevel="0" collapsed="false">
      <c r="B26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9" min="5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7" min="16" style="0" width="26"/>
  </cols>
  <sheetData>
    <row r="1" customFormat="false" ht="30" hidden="false" customHeight="true" outlineLevel="0" collapsed="false">
      <c r="A1" s="6" t="s">
        <v>22</v>
      </c>
      <c r="B1" s="6" t="s">
        <v>23</v>
      </c>
      <c r="C1" s="6" t="s">
        <v>24</v>
      </c>
      <c r="D1" s="6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30</v>
      </c>
      <c r="J1" s="6" t="s">
        <v>31</v>
      </c>
      <c r="K1" s="6" t="s">
        <v>32</v>
      </c>
      <c r="L1" s="6" t="s">
        <v>9</v>
      </c>
      <c r="M1" s="6" t="s">
        <v>33</v>
      </c>
      <c r="N1" s="6" t="s">
        <v>34</v>
      </c>
      <c r="O1" s="6" t="s">
        <v>35</v>
      </c>
      <c r="P1" s="6" t="s">
        <v>36</v>
      </c>
      <c r="Q1" s="6" t="s">
        <v>37</v>
      </c>
    </row>
    <row r="2" customFormat="false" ht="23.85" hidden="false" customHeight="false" outlineLevel="0" collapsed="false">
      <c r="A2" s="7" t="n">
        <f aca="false">IF(D2="","",COUNTA($D$2:D2))</f>
        <v>1</v>
      </c>
      <c r="B2" s="8" t="s">
        <v>38</v>
      </c>
      <c r="C2" s="9" t="s">
        <v>39</v>
      </c>
      <c r="D2" s="9" t="s">
        <v>40</v>
      </c>
      <c r="E2" s="9" t="s">
        <v>41</v>
      </c>
      <c r="F2" s="10" t="n">
        <v>765.95</v>
      </c>
      <c r="G2" s="10" t="n">
        <v>764.8</v>
      </c>
      <c r="H2" s="10" t="n">
        <v>768.2</v>
      </c>
      <c r="I2" s="10" t="n">
        <v>767.5</v>
      </c>
      <c r="J2" s="9" t="n">
        <v>10</v>
      </c>
      <c r="K2" s="11" t="n">
        <f aca="false">IF(OR(F2="",G2="",J2=""),"",J2*ABS(F2-G2))</f>
        <v>11.5000000000009</v>
      </c>
      <c r="L2" s="12" t="n">
        <f aca="false">IF(OR(F2="",G2="",I2="",F2=G2),"",IF(E2="Short",(F2-I2)/(F2-G2),(I2-F2)/(F2-G2)))</f>
        <v>1.34782608695638</v>
      </c>
      <c r="M2" s="7" t="str">
        <f aca="false">IF(L2="","",IF(L2&gt;0.05,"Win",IF(L2&lt;-0.05,"Loss","Breakeven")))</f>
        <v>Win</v>
      </c>
      <c r="N2" s="13" t="n">
        <f aca="false">IF(OR(L2="",K2=""),"",L2*K2)</f>
        <v>15.4999999999995</v>
      </c>
      <c r="O2" s="9" t="s">
        <v>42</v>
      </c>
      <c r="P2" s="14" t="s">
        <v>43</v>
      </c>
      <c r="Q2" s="14" t="s">
        <v>44</v>
      </c>
    </row>
    <row r="3" customFormat="false" ht="15" hidden="false" customHeight="false" outlineLevel="0" collapsed="false">
      <c r="A3" s="7" t="str">
        <f aca="false">IF(D3="","",COUNTA($D$2:D3))</f>
        <v/>
      </c>
      <c r="B3" s="8"/>
      <c r="C3" s="9"/>
      <c r="D3" s="9"/>
      <c r="E3" s="9"/>
      <c r="F3" s="10"/>
      <c r="G3" s="10"/>
      <c r="H3" s="10"/>
      <c r="I3" s="10"/>
      <c r="J3" s="9"/>
      <c r="K3" s="11" t="str">
        <f aca="false">IF(OR(F3="",G3="",J3=""),"",J3*ABS(F3-G3))</f>
        <v/>
      </c>
      <c r="L3" s="12" t="str">
        <f aca="false">IF(OR(F3="",G3="",I3="",F3=G3),"",IF(E3="Short",(F3-I3)/(F3-G3),(I3-F3)/(F3-G3)))</f>
        <v/>
      </c>
      <c r="M3" s="7" t="str">
        <f aca="false">IF(L3="","",IF(L3&gt;0.05,"Win",IF(L3&lt;-0.05,"Loss","Breakeven")))</f>
        <v/>
      </c>
      <c r="N3" s="13" t="str">
        <f aca="false">IF(OR(L3="",K3=""),"",L3*K3)</f>
        <v/>
      </c>
      <c r="O3" s="9"/>
      <c r="P3" s="14"/>
      <c r="Q3" s="14"/>
    </row>
    <row r="4" customFormat="false" ht="15" hidden="false" customHeight="false" outlineLevel="0" collapsed="false">
      <c r="A4" s="7" t="str">
        <f aca="false">IF(D4="","",COUNTA($D$2:D4))</f>
        <v/>
      </c>
      <c r="B4" s="8"/>
      <c r="C4" s="9"/>
      <c r="D4" s="9"/>
      <c r="E4" s="9"/>
      <c r="F4" s="10"/>
      <c r="G4" s="10"/>
      <c r="H4" s="10"/>
      <c r="I4" s="10"/>
      <c r="J4" s="9"/>
      <c r="K4" s="11" t="str">
        <f aca="false">IF(OR(F4="",G4="",J4=""),"",J4*ABS(F4-G4))</f>
        <v/>
      </c>
      <c r="L4" s="12" t="str">
        <f aca="false">IF(OR(F4="",G4="",I4="",F4=G4),"",IF(E4="Short",(F4-I4)/(F4-G4),(I4-F4)/(F4-G4)))</f>
        <v/>
      </c>
      <c r="M4" s="7" t="str">
        <f aca="false">IF(L4="","",IF(L4&gt;0.05,"Win",IF(L4&lt;-0.05,"Loss","Breakeven")))</f>
        <v/>
      </c>
      <c r="N4" s="13" t="str">
        <f aca="false">IF(OR(L4="",K4=""),"",L4*K4)</f>
        <v/>
      </c>
      <c r="O4" s="9"/>
      <c r="P4" s="14"/>
      <c r="Q4" s="14"/>
    </row>
    <row r="5" customFormat="false" ht="15" hidden="false" customHeight="false" outlineLevel="0" collapsed="false">
      <c r="A5" s="7" t="str">
        <f aca="false">IF(D5="","",COUNTA($D$2:D5))</f>
        <v/>
      </c>
      <c r="B5" s="8"/>
      <c r="C5" s="9"/>
      <c r="D5" s="9"/>
      <c r="E5" s="9"/>
      <c r="F5" s="10"/>
      <c r="G5" s="10"/>
      <c r="H5" s="10"/>
      <c r="I5" s="10"/>
      <c r="J5" s="9"/>
      <c r="K5" s="11" t="str">
        <f aca="false">IF(OR(F5="",G5="",J5=""),"",J5*ABS(F5-G5))</f>
        <v/>
      </c>
      <c r="L5" s="12" t="str">
        <f aca="false">IF(OR(F5="",G5="",I5="",F5=G5),"",IF(E5="Short",(F5-I5)/(F5-G5),(I5-F5)/(F5-G5)))</f>
        <v/>
      </c>
      <c r="M5" s="7" t="str">
        <f aca="false">IF(L5="","",IF(L5&gt;0.05,"Win",IF(L5&lt;-0.05,"Loss","Breakeven")))</f>
        <v/>
      </c>
      <c r="N5" s="13" t="str">
        <f aca="false">IF(OR(L5="",K5=""),"",L5*K5)</f>
        <v/>
      </c>
      <c r="O5" s="9"/>
      <c r="P5" s="14"/>
      <c r="Q5" s="14"/>
    </row>
    <row r="6" customFormat="false" ht="15" hidden="false" customHeight="false" outlineLevel="0" collapsed="false">
      <c r="A6" s="7" t="str">
        <f aca="false">IF(D6="","",COUNTA($D$2:D6))</f>
        <v/>
      </c>
      <c r="B6" s="8"/>
      <c r="C6" s="9"/>
      <c r="D6" s="9"/>
      <c r="E6" s="9"/>
      <c r="F6" s="10"/>
      <c r="G6" s="10"/>
      <c r="H6" s="10"/>
      <c r="I6" s="10"/>
      <c r="J6" s="9"/>
      <c r="K6" s="11" t="str">
        <f aca="false">IF(OR(F6="",G6="",J6=""),"",J6*ABS(F6-G6))</f>
        <v/>
      </c>
      <c r="L6" s="12" t="str">
        <f aca="false">IF(OR(F6="",G6="",I6="",F6=G6),"",IF(E6="Short",(F6-I6)/(F6-G6),(I6-F6)/(F6-G6)))</f>
        <v/>
      </c>
      <c r="M6" s="7" t="str">
        <f aca="false">IF(L6="","",IF(L6&gt;0.05,"Win",IF(L6&lt;-0.05,"Loss","Breakeven")))</f>
        <v/>
      </c>
      <c r="N6" s="13" t="str">
        <f aca="false">IF(OR(L6="",K6=""),"",L6*K6)</f>
        <v/>
      </c>
      <c r="O6" s="9"/>
      <c r="P6" s="14"/>
      <c r="Q6" s="14"/>
    </row>
    <row r="7" customFormat="false" ht="15" hidden="false" customHeight="false" outlineLevel="0" collapsed="false">
      <c r="A7" s="7" t="str">
        <f aca="false">IF(D7="","",COUNTA($D$2:D7))</f>
        <v/>
      </c>
      <c r="B7" s="8"/>
      <c r="C7" s="9"/>
      <c r="D7" s="9"/>
      <c r="E7" s="9"/>
      <c r="F7" s="10"/>
      <c r="G7" s="10"/>
      <c r="H7" s="10"/>
      <c r="I7" s="10"/>
      <c r="J7" s="9"/>
      <c r="K7" s="11" t="str">
        <f aca="false">IF(OR(F7="",G7="",J7=""),"",J7*ABS(F7-G7))</f>
        <v/>
      </c>
      <c r="L7" s="12" t="str">
        <f aca="false">IF(OR(F7="",G7="",I7="",F7=G7),"",IF(E7="Short",(F7-I7)/(F7-G7),(I7-F7)/(F7-G7)))</f>
        <v/>
      </c>
      <c r="M7" s="7" t="str">
        <f aca="false">IF(L7="","",IF(L7&gt;0.05,"Win",IF(L7&lt;-0.05,"Loss","Breakeven")))</f>
        <v/>
      </c>
      <c r="N7" s="13" t="str">
        <f aca="false">IF(OR(L7="",K7=""),"",L7*K7)</f>
        <v/>
      </c>
      <c r="O7" s="9"/>
      <c r="P7" s="14"/>
      <c r="Q7" s="14"/>
    </row>
    <row r="8" customFormat="false" ht="15" hidden="false" customHeight="false" outlineLevel="0" collapsed="false">
      <c r="A8" s="7" t="str">
        <f aca="false">IF(D8="","",COUNTA($D$2:D8))</f>
        <v/>
      </c>
      <c r="B8" s="8"/>
      <c r="C8" s="9"/>
      <c r="D8" s="9"/>
      <c r="E8" s="9"/>
      <c r="F8" s="10"/>
      <c r="G8" s="10"/>
      <c r="H8" s="10"/>
      <c r="I8" s="10"/>
      <c r="J8" s="9"/>
      <c r="K8" s="11" t="str">
        <f aca="false">IF(OR(F8="",G8="",J8=""),"",J8*ABS(F8-G8))</f>
        <v/>
      </c>
      <c r="L8" s="12" t="str">
        <f aca="false">IF(OR(F8="",G8="",I8="",F8=G8),"",IF(E8="Short",(F8-I8)/(F8-G8),(I8-F8)/(F8-G8)))</f>
        <v/>
      </c>
      <c r="M8" s="7" t="str">
        <f aca="false">IF(L8="","",IF(L8&gt;0.05,"Win",IF(L8&lt;-0.05,"Loss","Breakeven")))</f>
        <v/>
      </c>
      <c r="N8" s="13" t="str">
        <f aca="false">IF(OR(L8="",K8=""),"",L8*K8)</f>
        <v/>
      </c>
      <c r="O8" s="9"/>
      <c r="P8" s="14"/>
      <c r="Q8" s="14"/>
    </row>
    <row r="9" customFormat="false" ht="15" hidden="false" customHeight="false" outlineLevel="0" collapsed="false">
      <c r="A9" s="7" t="str">
        <f aca="false">IF(D9="","",COUNTA($D$2:D9))</f>
        <v/>
      </c>
      <c r="B9" s="8"/>
      <c r="C9" s="9"/>
      <c r="D9" s="9"/>
      <c r="E9" s="9"/>
      <c r="F9" s="10"/>
      <c r="G9" s="10"/>
      <c r="H9" s="10"/>
      <c r="I9" s="10"/>
      <c r="J9" s="9"/>
      <c r="K9" s="11" t="str">
        <f aca="false">IF(OR(F9="",G9="",J9=""),"",J9*ABS(F9-G9))</f>
        <v/>
      </c>
      <c r="L9" s="12" t="str">
        <f aca="false">IF(OR(F9="",G9="",I9="",F9=G9),"",IF(E9="Short",(F9-I9)/(F9-G9),(I9-F9)/(F9-G9)))</f>
        <v/>
      </c>
      <c r="M9" s="7" t="str">
        <f aca="false">IF(L9="","",IF(L9&gt;0.05,"Win",IF(L9&lt;-0.05,"Loss","Breakeven")))</f>
        <v/>
      </c>
      <c r="N9" s="13" t="str">
        <f aca="false">IF(OR(L9="",K9=""),"",L9*K9)</f>
        <v/>
      </c>
      <c r="O9" s="9"/>
      <c r="P9" s="14"/>
      <c r="Q9" s="14"/>
    </row>
    <row r="10" customFormat="false" ht="15" hidden="false" customHeight="false" outlineLevel="0" collapsed="false">
      <c r="A10" s="7" t="str">
        <f aca="false">IF(D10="","",COUNTA($D$2:D10))</f>
        <v/>
      </c>
      <c r="B10" s="8"/>
      <c r="C10" s="9"/>
      <c r="D10" s="9"/>
      <c r="E10" s="9"/>
      <c r="F10" s="10"/>
      <c r="G10" s="10"/>
      <c r="H10" s="10"/>
      <c r="I10" s="10"/>
      <c r="J10" s="9"/>
      <c r="K10" s="11" t="str">
        <f aca="false">IF(OR(F10="",G10="",J10=""),"",J10*ABS(F10-G10))</f>
        <v/>
      </c>
      <c r="L10" s="12" t="str">
        <f aca="false">IF(OR(F10="",G10="",I10="",F10=G10),"",IF(E10="Short",(F10-I10)/(F10-G10),(I10-F10)/(F10-G10)))</f>
        <v/>
      </c>
      <c r="M10" s="7" t="str">
        <f aca="false">IF(L10="","",IF(L10&gt;0.05,"Win",IF(L10&lt;-0.05,"Loss","Breakeven")))</f>
        <v/>
      </c>
      <c r="N10" s="13" t="str">
        <f aca="false">IF(OR(L10="",K10=""),"",L10*K10)</f>
        <v/>
      </c>
      <c r="O10" s="9"/>
      <c r="P10" s="14"/>
      <c r="Q10" s="14"/>
    </row>
    <row r="11" customFormat="false" ht="15" hidden="false" customHeight="false" outlineLevel="0" collapsed="false">
      <c r="A11" s="7" t="str">
        <f aca="false">IF(D11="","",COUNTA($D$2:D11))</f>
        <v/>
      </c>
      <c r="B11" s="8"/>
      <c r="C11" s="9"/>
      <c r="D11" s="9"/>
      <c r="E11" s="9"/>
      <c r="F11" s="10"/>
      <c r="G11" s="10"/>
      <c r="H11" s="10"/>
      <c r="I11" s="10"/>
      <c r="J11" s="9"/>
      <c r="K11" s="11" t="str">
        <f aca="false">IF(OR(F11="",G11="",J11=""),"",J11*ABS(F11-G11))</f>
        <v/>
      </c>
      <c r="L11" s="12" t="str">
        <f aca="false">IF(OR(F11="",G11="",I11="",F11=G11),"",IF(E11="Short",(F11-I11)/(F11-G11),(I11-F11)/(F11-G11)))</f>
        <v/>
      </c>
      <c r="M11" s="7" t="str">
        <f aca="false">IF(L11="","",IF(L11&gt;0.05,"Win",IF(L11&lt;-0.05,"Loss","Breakeven")))</f>
        <v/>
      </c>
      <c r="N11" s="13" t="str">
        <f aca="false">IF(OR(L11="",K11=""),"",L11*K11)</f>
        <v/>
      </c>
      <c r="O11" s="9"/>
      <c r="P11" s="14"/>
      <c r="Q11" s="14"/>
    </row>
    <row r="12" customFormat="false" ht="15" hidden="false" customHeight="false" outlineLevel="0" collapsed="false">
      <c r="A12" s="7" t="str">
        <f aca="false">IF(D12="","",COUNTA($D$2:D12))</f>
        <v/>
      </c>
      <c r="B12" s="8"/>
      <c r="C12" s="9"/>
      <c r="D12" s="9"/>
      <c r="E12" s="9"/>
      <c r="F12" s="10"/>
      <c r="G12" s="10"/>
      <c r="H12" s="10"/>
      <c r="I12" s="10"/>
      <c r="J12" s="9"/>
      <c r="K12" s="11" t="str">
        <f aca="false">IF(OR(F12="",G12="",J12=""),"",J12*ABS(F12-G12))</f>
        <v/>
      </c>
      <c r="L12" s="12" t="str">
        <f aca="false">IF(OR(F12="",G12="",I12="",F12=G12),"",IF(E12="Short",(F12-I12)/(F12-G12),(I12-F12)/(F12-G12)))</f>
        <v/>
      </c>
      <c r="M12" s="7" t="str">
        <f aca="false">IF(L12="","",IF(L12&gt;0.05,"Win",IF(L12&lt;-0.05,"Loss","Breakeven")))</f>
        <v/>
      </c>
      <c r="N12" s="13" t="str">
        <f aca="false">IF(OR(L12="",K12=""),"",L12*K12)</f>
        <v/>
      </c>
      <c r="O12" s="9"/>
      <c r="P12" s="14"/>
      <c r="Q12" s="14"/>
    </row>
    <row r="13" customFormat="false" ht="15" hidden="false" customHeight="false" outlineLevel="0" collapsed="false">
      <c r="A13" s="7" t="str">
        <f aca="false">IF(D13="","",COUNTA($D$2:D13))</f>
        <v/>
      </c>
      <c r="B13" s="8"/>
      <c r="C13" s="9"/>
      <c r="D13" s="9"/>
      <c r="E13" s="9"/>
      <c r="F13" s="10"/>
      <c r="G13" s="10"/>
      <c r="H13" s="10"/>
      <c r="I13" s="10"/>
      <c r="J13" s="9"/>
      <c r="K13" s="11" t="str">
        <f aca="false">IF(OR(F13="",G13="",J13=""),"",J13*ABS(F13-G13))</f>
        <v/>
      </c>
      <c r="L13" s="12" t="str">
        <f aca="false">IF(OR(F13="",G13="",I13="",F13=G13),"",IF(E13="Short",(F13-I13)/(F13-G13),(I13-F13)/(F13-G13)))</f>
        <v/>
      </c>
      <c r="M13" s="7" t="str">
        <f aca="false">IF(L13="","",IF(L13&gt;0.05,"Win",IF(L13&lt;-0.05,"Loss","Breakeven")))</f>
        <v/>
      </c>
      <c r="N13" s="13" t="str">
        <f aca="false">IF(OR(L13="",K13=""),"",L13*K13)</f>
        <v/>
      </c>
      <c r="O13" s="9"/>
      <c r="P13" s="14"/>
      <c r="Q13" s="14"/>
    </row>
    <row r="14" customFormat="false" ht="15" hidden="false" customHeight="false" outlineLevel="0" collapsed="false">
      <c r="A14" s="7" t="str">
        <f aca="false">IF(D14="","",COUNTA($D$2:D14))</f>
        <v/>
      </c>
      <c r="B14" s="8"/>
      <c r="C14" s="9"/>
      <c r="D14" s="9"/>
      <c r="E14" s="9"/>
      <c r="F14" s="10"/>
      <c r="G14" s="10"/>
      <c r="H14" s="10"/>
      <c r="I14" s="10"/>
      <c r="J14" s="9"/>
      <c r="K14" s="11" t="str">
        <f aca="false">IF(OR(F14="",G14="",J14=""),"",J14*ABS(F14-G14))</f>
        <v/>
      </c>
      <c r="L14" s="12" t="str">
        <f aca="false">IF(OR(F14="",G14="",I14="",F14=G14),"",IF(E14="Short",(F14-I14)/(F14-G14),(I14-F14)/(F14-G14)))</f>
        <v/>
      </c>
      <c r="M14" s="7" t="str">
        <f aca="false">IF(L14="","",IF(L14&gt;0.05,"Win",IF(L14&lt;-0.05,"Loss","Breakeven")))</f>
        <v/>
      </c>
      <c r="N14" s="13" t="str">
        <f aca="false">IF(OR(L14="",K14=""),"",L14*K14)</f>
        <v/>
      </c>
      <c r="O14" s="9"/>
      <c r="P14" s="14"/>
      <c r="Q14" s="14"/>
    </row>
    <row r="15" customFormat="false" ht="15" hidden="false" customHeight="false" outlineLevel="0" collapsed="false">
      <c r="A15" s="7" t="str">
        <f aca="false">IF(D15="","",COUNTA($D$2:D15))</f>
        <v/>
      </c>
      <c r="B15" s="8"/>
      <c r="C15" s="9"/>
      <c r="D15" s="9"/>
      <c r="E15" s="9"/>
      <c r="F15" s="10"/>
      <c r="G15" s="10"/>
      <c r="H15" s="10"/>
      <c r="I15" s="10"/>
      <c r="J15" s="9"/>
      <c r="K15" s="11" t="str">
        <f aca="false">IF(OR(F15="",G15="",J15=""),"",J15*ABS(F15-G15))</f>
        <v/>
      </c>
      <c r="L15" s="12" t="str">
        <f aca="false">IF(OR(F15="",G15="",I15="",F15=G15),"",IF(E15="Short",(F15-I15)/(F15-G15),(I15-F15)/(F15-G15)))</f>
        <v/>
      </c>
      <c r="M15" s="7" t="str">
        <f aca="false">IF(L15="","",IF(L15&gt;0.05,"Win",IF(L15&lt;-0.05,"Loss","Breakeven")))</f>
        <v/>
      </c>
      <c r="N15" s="13" t="str">
        <f aca="false">IF(OR(L15="",K15=""),"",L15*K15)</f>
        <v/>
      </c>
      <c r="O15" s="9"/>
      <c r="P15" s="14"/>
      <c r="Q15" s="14"/>
    </row>
    <row r="16" customFormat="false" ht="15" hidden="false" customHeight="false" outlineLevel="0" collapsed="false">
      <c r="A16" s="7" t="str">
        <f aca="false">IF(D16="","",COUNTA($D$2:D16))</f>
        <v/>
      </c>
      <c r="B16" s="8"/>
      <c r="C16" s="9"/>
      <c r="D16" s="9"/>
      <c r="E16" s="9"/>
      <c r="F16" s="10"/>
      <c r="G16" s="10"/>
      <c r="H16" s="10"/>
      <c r="I16" s="10"/>
      <c r="J16" s="9"/>
      <c r="K16" s="11" t="str">
        <f aca="false">IF(OR(F16="",G16="",J16=""),"",J16*ABS(F16-G16))</f>
        <v/>
      </c>
      <c r="L16" s="12" t="str">
        <f aca="false">IF(OR(F16="",G16="",I16="",F16=G16),"",IF(E16="Short",(F16-I16)/(F16-G16),(I16-F16)/(F16-G16)))</f>
        <v/>
      </c>
      <c r="M16" s="7" t="str">
        <f aca="false">IF(L16="","",IF(L16&gt;0.05,"Win",IF(L16&lt;-0.05,"Loss","Breakeven")))</f>
        <v/>
      </c>
      <c r="N16" s="13" t="str">
        <f aca="false">IF(OR(L16="",K16=""),"",L16*K16)</f>
        <v/>
      </c>
      <c r="O16" s="9"/>
      <c r="P16" s="14"/>
      <c r="Q16" s="14"/>
    </row>
    <row r="17" customFormat="false" ht="15" hidden="false" customHeight="false" outlineLevel="0" collapsed="false">
      <c r="A17" s="7" t="str">
        <f aca="false">IF(D17="","",COUNTA($D$2:D17))</f>
        <v/>
      </c>
      <c r="B17" s="8"/>
      <c r="C17" s="9"/>
      <c r="D17" s="9"/>
      <c r="E17" s="9"/>
      <c r="F17" s="10"/>
      <c r="G17" s="10"/>
      <c r="H17" s="10"/>
      <c r="I17" s="10"/>
      <c r="J17" s="9"/>
      <c r="K17" s="11" t="str">
        <f aca="false">IF(OR(F17="",G17="",J17=""),"",J17*ABS(F17-G17))</f>
        <v/>
      </c>
      <c r="L17" s="12" t="str">
        <f aca="false">IF(OR(F17="",G17="",I17="",F17=G17),"",IF(E17="Short",(F17-I17)/(F17-G17),(I17-F17)/(F17-G17)))</f>
        <v/>
      </c>
      <c r="M17" s="7" t="str">
        <f aca="false">IF(L17="","",IF(L17&gt;0.05,"Win",IF(L17&lt;-0.05,"Loss","Breakeven")))</f>
        <v/>
      </c>
      <c r="N17" s="13" t="str">
        <f aca="false">IF(OR(L17="",K17=""),"",L17*K17)</f>
        <v/>
      </c>
      <c r="O17" s="9"/>
      <c r="P17" s="14"/>
      <c r="Q17" s="14"/>
    </row>
    <row r="18" customFormat="false" ht="15" hidden="false" customHeight="false" outlineLevel="0" collapsed="false">
      <c r="A18" s="7" t="str">
        <f aca="false">IF(D18="","",COUNTA($D$2:D18))</f>
        <v/>
      </c>
      <c r="B18" s="8"/>
      <c r="C18" s="9"/>
      <c r="D18" s="9"/>
      <c r="E18" s="9"/>
      <c r="F18" s="10"/>
      <c r="G18" s="10"/>
      <c r="H18" s="10"/>
      <c r="I18" s="10"/>
      <c r="J18" s="9"/>
      <c r="K18" s="11" t="str">
        <f aca="false">IF(OR(F18="",G18="",J18=""),"",J18*ABS(F18-G18))</f>
        <v/>
      </c>
      <c r="L18" s="12" t="str">
        <f aca="false">IF(OR(F18="",G18="",I18="",F18=G18),"",IF(E18="Short",(F18-I18)/(F18-G18),(I18-F18)/(F18-G18)))</f>
        <v/>
      </c>
      <c r="M18" s="7" t="str">
        <f aca="false">IF(L18="","",IF(L18&gt;0.05,"Win",IF(L18&lt;-0.05,"Loss","Breakeven")))</f>
        <v/>
      </c>
      <c r="N18" s="13" t="str">
        <f aca="false">IF(OR(L18="",K18=""),"",L18*K18)</f>
        <v/>
      </c>
      <c r="O18" s="9"/>
      <c r="P18" s="14"/>
      <c r="Q18" s="14"/>
    </row>
    <row r="19" customFormat="false" ht="15" hidden="false" customHeight="false" outlineLevel="0" collapsed="false">
      <c r="A19" s="7" t="str">
        <f aca="false">IF(D19="","",COUNTA($D$2:D19))</f>
        <v/>
      </c>
      <c r="B19" s="8"/>
      <c r="C19" s="9"/>
      <c r="D19" s="9"/>
      <c r="E19" s="9"/>
      <c r="F19" s="10"/>
      <c r="G19" s="10"/>
      <c r="H19" s="10"/>
      <c r="I19" s="10"/>
      <c r="J19" s="9"/>
      <c r="K19" s="11" t="str">
        <f aca="false">IF(OR(F19="",G19="",J19=""),"",J19*ABS(F19-G19))</f>
        <v/>
      </c>
      <c r="L19" s="12" t="str">
        <f aca="false">IF(OR(F19="",G19="",I19="",F19=G19),"",IF(E19="Short",(F19-I19)/(F19-G19),(I19-F19)/(F19-G19)))</f>
        <v/>
      </c>
      <c r="M19" s="7" t="str">
        <f aca="false">IF(L19="","",IF(L19&gt;0.05,"Win",IF(L19&lt;-0.05,"Loss","Breakeven")))</f>
        <v/>
      </c>
      <c r="N19" s="13" t="str">
        <f aca="false">IF(OR(L19="",K19=""),"",L19*K19)</f>
        <v/>
      </c>
      <c r="O19" s="9"/>
      <c r="P19" s="14"/>
      <c r="Q19" s="14"/>
    </row>
    <row r="20" customFormat="false" ht="15" hidden="false" customHeight="false" outlineLevel="0" collapsed="false">
      <c r="A20" s="7" t="str">
        <f aca="false">IF(D20="","",COUNTA($D$2:D20))</f>
        <v/>
      </c>
      <c r="B20" s="8"/>
      <c r="C20" s="9"/>
      <c r="D20" s="9"/>
      <c r="E20" s="9"/>
      <c r="F20" s="10"/>
      <c r="G20" s="10"/>
      <c r="H20" s="10"/>
      <c r="I20" s="10"/>
      <c r="J20" s="9"/>
      <c r="K20" s="11" t="str">
        <f aca="false">IF(OR(F20="",G20="",J20=""),"",J20*ABS(F20-G20))</f>
        <v/>
      </c>
      <c r="L20" s="12" t="str">
        <f aca="false">IF(OR(F20="",G20="",I20="",F20=G20),"",IF(E20="Short",(F20-I20)/(F20-G20),(I20-F20)/(F20-G20)))</f>
        <v/>
      </c>
      <c r="M20" s="7" t="str">
        <f aca="false">IF(L20="","",IF(L20&gt;0.05,"Win",IF(L20&lt;-0.05,"Loss","Breakeven")))</f>
        <v/>
      </c>
      <c r="N20" s="13" t="str">
        <f aca="false">IF(OR(L20="",K20=""),"",L20*K20)</f>
        <v/>
      </c>
      <c r="O20" s="9"/>
      <c r="P20" s="14"/>
      <c r="Q20" s="14"/>
    </row>
    <row r="21" customFormat="false" ht="15" hidden="false" customHeight="false" outlineLevel="0" collapsed="false">
      <c r="A21" s="7" t="str">
        <f aca="false">IF(D21="","",COUNTA($D$2:D21))</f>
        <v/>
      </c>
      <c r="B21" s="8"/>
      <c r="C21" s="9"/>
      <c r="D21" s="9"/>
      <c r="E21" s="9"/>
      <c r="F21" s="10"/>
      <c r="G21" s="10"/>
      <c r="H21" s="10"/>
      <c r="I21" s="10"/>
      <c r="J21" s="9"/>
      <c r="K21" s="11" t="str">
        <f aca="false">IF(OR(F21="",G21="",J21=""),"",J21*ABS(F21-G21))</f>
        <v/>
      </c>
      <c r="L21" s="12" t="str">
        <f aca="false">IF(OR(F21="",G21="",I21="",F21=G21),"",IF(E21="Short",(F21-I21)/(F21-G21),(I21-F21)/(F21-G21)))</f>
        <v/>
      </c>
      <c r="M21" s="7" t="str">
        <f aca="false">IF(L21="","",IF(L21&gt;0.05,"Win",IF(L21&lt;-0.05,"Loss","Breakeven")))</f>
        <v/>
      </c>
      <c r="N21" s="13" t="str">
        <f aca="false">IF(OR(L21="",K21=""),"",L21*K21)</f>
        <v/>
      </c>
      <c r="O21" s="9"/>
      <c r="P21" s="14"/>
      <c r="Q21" s="14"/>
    </row>
    <row r="22" customFormat="false" ht="15" hidden="false" customHeight="false" outlineLevel="0" collapsed="false">
      <c r="A22" s="7" t="str">
        <f aca="false">IF(D22="","",COUNTA($D$2:D22))</f>
        <v/>
      </c>
      <c r="B22" s="8"/>
      <c r="C22" s="9"/>
      <c r="D22" s="9"/>
      <c r="E22" s="9"/>
      <c r="F22" s="10"/>
      <c r="G22" s="10"/>
      <c r="H22" s="10"/>
      <c r="I22" s="10"/>
      <c r="J22" s="9"/>
      <c r="K22" s="11" t="str">
        <f aca="false">IF(OR(F22="",G22="",J22=""),"",J22*ABS(F22-G22))</f>
        <v/>
      </c>
      <c r="L22" s="12" t="str">
        <f aca="false">IF(OR(F22="",G22="",I22="",F22=G22),"",IF(E22="Short",(F22-I22)/(F22-G22),(I22-F22)/(F22-G22)))</f>
        <v/>
      </c>
      <c r="M22" s="7" t="str">
        <f aca="false">IF(L22="","",IF(L22&gt;0.05,"Win",IF(L22&lt;-0.05,"Loss","Breakeven")))</f>
        <v/>
      </c>
      <c r="N22" s="13" t="str">
        <f aca="false">IF(OR(L22="",K22=""),"",L22*K22)</f>
        <v/>
      </c>
      <c r="O22" s="9"/>
      <c r="P22" s="14"/>
      <c r="Q22" s="14"/>
    </row>
    <row r="23" customFormat="false" ht="15" hidden="false" customHeight="false" outlineLevel="0" collapsed="false">
      <c r="A23" s="7" t="str">
        <f aca="false">IF(D23="","",COUNTA($D$2:D23))</f>
        <v/>
      </c>
      <c r="B23" s="8"/>
      <c r="C23" s="9"/>
      <c r="D23" s="9"/>
      <c r="E23" s="9"/>
      <c r="F23" s="10"/>
      <c r="G23" s="10"/>
      <c r="H23" s="10"/>
      <c r="I23" s="10"/>
      <c r="J23" s="9"/>
      <c r="K23" s="11" t="str">
        <f aca="false">IF(OR(F23="",G23="",J23=""),"",J23*ABS(F23-G23))</f>
        <v/>
      </c>
      <c r="L23" s="12" t="str">
        <f aca="false">IF(OR(F23="",G23="",I23="",F23=G23),"",IF(E23="Short",(F23-I23)/(F23-G23),(I23-F23)/(F23-G23)))</f>
        <v/>
      </c>
      <c r="M23" s="7" t="str">
        <f aca="false">IF(L23="","",IF(L23&gt;0.05,"Win",IF(L23&lt;-0.05,"Loss","Breakeven")))</f>
        <v/>
      </c>
      <c r="N23" s="13" t="str">
        <f aca="false">IF(OR(L23="",K23=""),"",L23*K23)</f>
        <v/>
      </c>
      <c r="O23" s="9"/>
      <c r="P23" s="14"/>
      <c r="Q23" s="14"/>
    </row>
    <row r="24" customFormat="false" ht="15" hidden="false" customHeight="false" outlineLevel="0" collapsed="false">
      <c r="A24" s="7" t="str">
        <f aca="false">IF(D24="","",COUNTA($D$2:D24))</f>
        <v/>
      </c>
      <c r="B24" s="8"/>
      <c r="C24" s="9"/>
      <c r="D24" s="9"/>
      <c r="E24" s="9"/>
      <c r="F24" s="10"/>
      <c r="G24" s="10"/>
      <c r="H24" s="10"/>
      <c r="I24" s="10"/>
      <c r="J24" s="9"/>
      <c r="K24" s="11" t="str">
        <f aca="false">IF(OR(F24="",G24="",J24=""),"",J24*ABS(F24-G24))</f>
        <v/>
      </c>
      <c r="L24" s="12" t="str">
        <f aca="false">IF(OR(F24="",G24="",I24="",F24=G24),"",IF(E24="Short",(F24-I24)/(F24-G24),(I24-F24)/(F24-G24)))</f>
        <v/>
      </c>
      <c r="M24" s="7" t="str">
        <f aca="false">IF(L24="","",IF(L24&gt;0.05,"Win",IF(L24&lt;-0.05,"Loss","Breakeven")))</f>
        <v/>
      </c>
      <c r="N24" s="13" t="str">
        <f aca="false">IF(OR(L24="",K24=""),"",L24*K24)</f>
        <v/>
      </c>
      <c r="O24" s="9"/>
      <c r="P24" s="14"/>
      <c r="Q24" s="14"/>
    </row>
    <row r="25" customFormat="false" ht="15" hidden="false" customHeight="false" outlineLevel="0" collapsed="false">
      <c r="A25" s="7" t="str">
        <f aca="false">IF(D25="","",COUNTA($D$2:D25))</f>
        <v/>
      </c>
      <c r="B25" s="8"/>
      <c r="C25" s="9"/>
      <c r="D25" s="9"/>
      <c r="E25" s="9"/>
      <c r="F25" s="10"/>
      <c r="G25" s="10"/>
      <c r="H25" s="10"/>
      <c r="I25" s="10"/>
      <c r="J25" s="9"/>
      <c r="K25" s="11" t="str">
        <f aca="false">IF(OR(F25="",G25="",J25=""),"",J25*ABS(F25-G25))</f>
        <v/>
      </c>
      <c r="L25" s="12" t="str">
        <f aca="false">IF(OR(F25="",G25="",I25="",F25=G25),"",IF(E25="Short",(F25-I25)/(F25-G25),(I25-F25)/(F25-G25)))</f>
        <v/>
      </c>
      <c r="M25" s="7" t="str">
        <f aca="false">IF(L25="","",IF(L25&gt;0.05,"Win",IF(L25&lt;-0.05,"Loss","Breakeven")))</f>
        <v/>
      </c>
      <c r="N25" s="13" t="str">
        <f aca="false">IF(OR(L25="",K25=""),"",L25*K25)</f>
        <v/>
      </c>
      <c r="O25" s="9"/>
      <c r="P25" s="14"/>
      <c r="Q25" s="14"/>
    </row>
    <row r="26" customFormat="false" ht="15" hidden="false" customHeight="false" outlineLevel="0" collapsed="false">
      <c r="A26" s="7" t="str">
        <f aca="false">IF(D26="","",COUNTA($D$2:D26))</f>
        <v/>
      </c>
      <c r="B26" s="8"/>
      <c r="C26" s="9"/>
      <c r="D26" s="9"/>
      <c r="E26" s="9"/>
      <c r="F26" s="10"/>
      <c r="G26" s="10"/>
      <c r="H26" s="10"/>
      <c r="I26" s="10"/>
      <c r="J26" s="9"/>
      <c r="K26" s="11" t="str">
        <f aca="false">IF(OR(F26="",G26="",J26=""),"",J26*ABS(F26-G26))</f>
        <v/>
      </c>
      <c r="L26" s="12" t="str">
        <f aca="false">IF(OR(F26="",G26="",I26="",F26=G26),"",IF(E26="Short",(F26-I26)/(F26-G26),(I26-F26)/(F26-G26)))</f>
        <v/>
      </c>
      <c r="M26" s="7" t="str">
        <f aca="false">IF(L26="","",IF(L26&gt;0.05,"Win",IF(L26&lt;-0.05,"Loss","Breakeven")))</f>
        <v/>
      </c>
      <c r="N26" s="13" t="str">
        <f aca="false">IF(OR(L26="",K26=""),"",L26*K26)</f>
        <v/>
      </c>
      <c r="O26" s="9"/>
      <c r="P26" s="14"/>
      <c r="Q26" s="14"/>
    </row>
    <row r="27" customFormat="false" ht="15" hidden="false" customHeight="false" outlineLevel="0" collapsed="false">
      <c r="A27" s="7" t="str">
        <f aca="false">IF(D27="","",COUNTA($D$2:D27))</f>
        <v/>
      </c>
      <c r="B27" s="8"/>
      <c r="C27" s="9"/>
      <c r="D27" s="9"/>
      <c r="E27" s="9"/>
      <c r="F27" s="10"/>
      <c r="G27" s="10"/>
      <c r="H27" s="10"/>
      <c r="I27" s="10"/>
      <c r="J27" s="9"/>
      <c r="K27" s="11" t="str">
        <f aca="false">IF(OR(F27="",G27="",J27=""),"",J27*ABS(F27-G27))</f>
        <v/>
      </c>
      <c r="L27" s="12" t="str">
        <f aca="false">IF(OR(F27="",G27="",I27="",F27=G27),"",IF(E27="Short",(F27-I27)/(F27-G27),(I27-F27)/(F27-G27)))</f>
        <v/>
      </c>
      <c r="M27" s="7" t="str">
        <f aca="false">IF(L27="","",IF(L27&gt;0.05,"Win",IF(L27&lt;-0.05,"Loss","Breakeven")))</f>
        <v/>
      </c>
      <c r="N27" s="13" t="str">
        <f aca="false">IF(OR(L27="",K27=""),"",L27*K27)</f>
        <v/>
      </c>
      <c r="O27" s="9"/>
      <c r="P27" s="14"/>
      <c r="Q27" s="14"/>
    </row>
    <row r="28" customFormat="false" ht="15" hidden="false" customHeight="false" outlineLevel="0" collapsed="false">
      <c r="A28" s="7" t="str">
        <f aca="false">IF(D28="","",COUNTA($D$2:D28))</f>
        <v/>
      </c>
      <c r="B28" s="8"/>
      <c r="C28" s="9"/>
      <c r="D28" s="9"/>
      <c r="E28" s="9"/>
      <c r="F28" s="10"/>
      <c r="G28" s="10"/>
      <c r="H28" s="10"/>
      <c r="I28" s="10"/>
      <c r="J28" s="9"/>
      <c r="K28" s="11" t="str">
        <f aca="false">IF(OR(F28="",G28="",J28=""),"",J28*ABS(F28-G28))</f>
        <v/>
      </c>
      <c r="L28" s="12" t="str">
        <f aca="false">IF(OR(F28="",G28="",I28="",F28=G28),"",IF(E28="Short",(F28-I28)/(F28-G28),(I28-F28)/(F28-G28)))</f>
        <v/>
      </c>
      <c r="M28" s="7" t="str">
        <f aca="false">IF(L28="","",IF(L28&gt;0.05,"Win",IF(L28&lt;-0.05,"Loss","Breakeven")))</f>
        <v/>
      </c>
      <c r="N28" s="13" t="str">
        <f aca="false">IF(OR(L28="",K28=""),"",L28*K28)</f>
        <v/>
      </c>
      <c r="O28" s="9"/>
      <c r="P28" s="14"/>
      <c r="Q28" s="14"/>
    </row>
    <row r="29" customFormat="false" ht="15" hidden="false" customHeight="false" outlineLevel="0" collapsed="false">
      <c r="A29" s="7" t="str">
        <f aca="false">IF(D29="","",COUNTA($D$2:D29))</f>
        <v/>
      </c>
      <c r="B29" s="8"/>
      <c r="C29" s="9"/>
      <c r="D29" s="9"/>
      <c r="E29" s="9"/>
      <c r="F29" s="10"/>
      <c r="G29" s="10"/>
      <c r="H29" s="10"/>
      <c r="I29" s="10"/>
      <c r="J29" s="9"/>
      <c r="K29" s="11" t="str">
        <f aca="false">IF(OR(F29="",G29="",J29=""),"",J29*ABS(F29-G29))</f>
        <v/>
      </c>
      <c r="L29" s="12" t="str">
        <f aca="false">IF(OR(F29="",G29="",I29="",F29=G29),"",IF(E29="Short",(F29-I29)/(F29-G29),(I29-F29)/(F29-G29)))</f>
        <v/>
      </c>
      <c r="M29" s="7" t="str">
        <f aca="false">IF(L29="","",IF(L29&gt;0.05,"Win",IF(L29&lt;-0.05,"Loss","Breakeven")))</f>
        <v/>
      </c>
      <c r="N29" s="13" t="str">
        <f aca="false">IF(OR(L29="",K29=""),"",L29*K29)</f>
        <v/>
      </c>
      <c r="O29" s="9"/>
      <c r="P29" s="14"/>
      <c r="Q29" s="14"/>
    </row>
    <row r="30" customFormat="false" ht="15" hidden="false" customHeight="false" outlineLevel="0" collapsed="false">
      <c r="A30" s="7" t="str">
        <f aca="false">IF(D30="","",COUNTA($D$2:D30))</f>
        <v/>
      </c>
      <c r="B30" s="8"/>
      <c r="C30" s="9"/>
      <c r="D30" s="9"/>
      <c r="E30" s="9"/>
      <c r="F30" s="10"/>
      <c r="G30" s="10"/>
      <c r="H30" s="10"/>
      <c r="I30" s="10"/>
      <c r="J30" s="9"/>
      <c r="K30" s="11" t="str">
        <f aca="false">IF(OR(F30="",G30="",J30=""),"",J30*ABS(F30-G30))</f>
        <v/>
      </c>
      <c r="L30" s="12" t="str">
        <f aca="false">IF(OR(F30="",G30="",I30="",F30=G30),"",IF(E30="Short",(F30-I30)/(F30-G30),(I30-F30)/(F30-G30)))</f>
        <v/>
      </c>
      <c r="M30" s="7" t="str">
        <f aca="false">IF(L30="","",IF(L30&gt;0.05,"Win",IF(L30&lt;-0.05,"Loss","Breakeven")))</f>
        <v/>
      </c>
      <c r="N30" s="13" t="str">
        <f aca="false">IF(OR(L30="",K30=""),"",L30*K30)</f>
        <v/>
      </c>
      <c r="O30" s="9"/>
      <c r="P30" s="14"/>
      <c r="Q30" s="14"/>
    </row>
    <row r="31" customFormat="false" ht="15" hidden="false" customHeight="false" outlineLevel="0" collapsed="false">
      <c r="A31" s="7" t="str">
        <f aca="false">IF(D31="","",COUNTA($D$2:D31))</f>
        <v/>
      </c>
      <c r="B31" s="8"/>
      <c r="C31" s="9"/>
      <c r="D31" s="9"/>
      <c r="E31" s="9"/>
      <c r="F31" s="10"/>
      <c r="G31" s="10"/>
      <c r="H31" s="10"/>
      <c r="I31" s="10"/>
      <c r="J31" s="9"/>
      <c r="K31" s="11" t="str">
        <f aca="false">IF(OR(F31="",G31="",J31=""),"",J31*ABS(F31-G31))</f>
        <v/>
      </c>
      <c r="L31" s="12" t="str">
        <f aca="false">IF(OR(F31="",G31="",I31="",F31=G31),"",IF(E31="Short",(F31-I31)/(F31-G31),(I31-F31)/(F31-G31)))</f>
        <v/>
      </c>
      <c r="M31" s="7" t="str">
        <f aca="false">IF(L31="","",IF(L31&gt;0.05,"Win",IF(L31&lt;-0.05,"Loss","Breakeven")))</f>
        <v/>
      </c>
      <c r="N31" s="13" t="str">
        <f aca="false">IF(OR(L31="",K31=""),"",L31*K31)</f>
        <v/>
      </c>
      <c r="O31" s="9"/>
      <c r="P31" s="14"/>
      <c r="Q31" s="14"/>
    </row>
    <row r="32" customFormat="false" ht="15" hidden="false" customHeight="false" outlineLevel="0" collapsed="false">
      <c r="A32" s="7" t="str">
        <f aca="false">IF(D32="","",COUNTA($D$2:D32))</f>
        <v/>
      </c>
      <c r="B32" s="8"/>
      <c r="C32" s="9"/>
      <c r="D32" s="9"/>
      <c r="E32" s="9"/>
      <c r="F32" s="10"/>
      <c r="G32" s="10"/>
      <c r="H32" s="10"/>
      <c r="I32" s="10"/>
      <c r="J32" s="9"/>
      <c r="K32" s="11" t="str">
        <f aca="false">IF(OR(F32="",G32="",J32=""),"",J32*ABS(F32-G32))</f>
        <v/>
      </c>
      <c r="L32" s="12" t="str">
        <f aca="false">IF(OR(F32="",G32="",I32="",F32=G32),"",IF(E32="Short",(F32-I32)/(F32-G32),(I32-F32)/(F32-G32)))</f>
        <v/>
      </c>
      <c r="M32" s="7" t="str">
        <f aca="false">IF(L32="","",IF(L32&gt;0.05,"Win",IF(L32&lt;-0.05,"Loss","Breakeven")))</f>
        <v/>
      </c>
      <c r="N32" s="13" t="str">
        <f aca="false">IF(OR(L32="",K32=""),"",L32*K32)</f>
        <v/>
      </c>
      <c r="O32" s="9"/>
      <c r="P32" s="14"/>
      <c r="Q32" s="14"/>
    </row>
    <row r="33" customFormat="false" ht="15" hidden="false" customHeight="false" outlineLevel="0" collapsed="false">
      <c r="A33" s="7" t="str">
        <f aca="false">IF(D33="","",COUNTA($D$2:D33))</f>
        <v/>
      </c>
      <c r="B33" s="8"/>
      <c r="C33" s="9"/>
      <c r="D33" s="9"/>
      <c r="E33" s="9"/>
      <c r="F33" s="10"/>
      <c r="G33" s="10"/>
      <c r="H33" s="10"/>
      <c r="I33" s="10"/>
      <c r="J33" s="9"/>
      <c r="K33" s="11" t="str">
        <f aca="false">IF(OR(F33="",G33="",J33=""),"",J33*ABS(F33-G33))</f>
        <v/>
      </c>
      <c r="L33" s="12" t="str">
        <f aca="false">IF(OR(F33="",G33="",I33="",F33=G33),"",IF(E33="Short",(F33-I33)/(F33-G33),(I33-F33)/(F33-G33)))</f>
        <v/>
      </c>
      <c r="M33" s="7" t="str">
        <f aca="false">IF(L33="","",IF(L33&gt;0.05,"Win",IF(L33&lt;-0.05,"Loss","Breakeven")))</f>
        <v/>
      </c>
      <c r="N33" s="13" t="str">
        <f aca="false">IF(OR(L33="",K33=""),"",L33*K33)</f>
        <v/>
      </c>
      <c r="O33" s="9"/>
      <c r="P33" s="14"/>
      <c r="Q33" s="14"/>
    </row>
    <row r="34" customFormat="false" ht="15" hidden="false" customHeight="false" outlineLevel="0" collapsed="false">
      <c r="A34" s="7" t="str">
        <f aca="false">IF(D34="","",COUNTA($D$2:D34))</f>
        <v/>
      </c>
      <c r="B34" s="8"/>
      <c r="C34" s="9"/>
      <c r="D34" s="9"/>
      <c r="E34" s="9"/>
      <c r="F34" s="10"/>
      <c r="G34" s="10"/>
      <c r="H34" s="10"/>
      <c r="I34" s="10"/>
      <c r="J34" s="9"/>
      <c r="K34" s="11" t="str">
        <f aca="false">IF(OR(F34="",G34="",J34=""),"",J34*ABS(F34-G34))</f>
        <v/>
      </c>
      <c r="L34" s="12" t="str">
        <f aca="false">IF(OR(F34="",G34="",I34="",F34=G34),"",IF(E34="Short",(F34-I34)/(F34-G34),(I34-F34)/(F34-G34)))</f>
        <v/>
      </c>
      <c r="M34" s="7" t="str">
        <f aca="false">IF(L34="","",IF(L34&gt;0.05,"Win",IF(L34&lt;-0.05,"Loss","Breakeven")))</f>
        <v/>
      </c>
      <c r="N34" s="13" t="str">
        <f aca="false">IF(OR(L34="",K34=""),"",L34*K34)</f>
        <v/>
      </c>
      <c r="O34" s="9"/>
      <c r="P34" s="14"/>
      <c r="Q34" s="14"/>
    </row>
    <row r="35" customFormat="false" ht="15" hidden="false" customHeight="false" outlineLevel="0" collapsed="false">
      <c r="A35" s="7" t="str">
        <f aca="false">IF(D35="","",COUNTA($D$2:D35))</f>
        <v/>
      </c>
      <c r="B35" s="8"/>
      <c r="C35" s="9"/>
      <c r="D35" s="9"/>
      <c r="E35" s="9"/>
      <c r="F35" s="10"/>
      <c r="G35" s="10"/>
      <c r="H35" s="10"/>
      <c r="I35" s="10"/>
      <c r="J35" s="9"/>
      <c r="K35" s="11" t="str">
        <f aca="false">IF(OR(F35="",G35="",J35=""),"",J35*ABS(F35-G35))</f>
        <v/>
      </c>
      <c r="L35" s="12" t="str">
        <f aca="false">IF(OR(F35="",G35="",I35="",F35=G35),"",IF(E35="Short",(F35-I35)/(F35-G35),(I35-F35)/(F35-G35)))</f>
        <v/>
      </c>
      <c r="M35" s="7" t="str">
        <f aca="false">IF(L35="","",IF(L35&gt;0.05,"Win",IF(L35&lt;-0.05,"Loss","Breakeven")))</f>
        <v/>
      </c>
      <c r="N35" s="13" t="str">
        <f aca="false">IF(OR(L35="",K35=""),"",L35*K35)</f>
        <v/>
      </c>
      <c r="O35" s="9"/>
      <c r="P35" s="14"/>
      <c r="Q35" s="14"/>
    </row>
    <row r="36" customFormat="false" ht="15" hidden="false" customHeight="false" outlineLevel="0" collapsed="false">
      <c r="A36" s="7" t="str">
        <f aca="false">IF(D36="","",COUNTA($D$2:D36))</f>
        <v/>
      </c>
      <c r="B36" s="8"/>
      <c r="C36" s="9"/>
      <c r="D36" s="9"/>
      <c r="E36" s="9"/>
      <c r="F36" s="10"/>
      <c r="G36" s="10"/>
      <c r="H36" s="10"/>
      <c r="I36" s="10"/>
      <c r="J36" s="9"/>
      <c r="K36" s="11" t="str">
        <f aca="false">IF(OR(F36="",G36="",J36=""),"",J36*ABS(F36-G36))</f>
        <v/>
      </c>
      <c r="L36" s="12" t="str">
        <f aca="false">IF(OR(F36="",G36="",I36="",F36=G36),"",IF(E36="Short",(F36-I36)/(F36-G36),(I36-F36)/(F36-G36)))</f>
        <v/>
      </c>
      <c r="M36" s="7" t="str">
        <f aca="false">IF(L36="","",IF(L36&gt;0.05,"Win",IF(L36&lt;-0.05,"Loss","Breakeven")))</f>
        <v/>
      </c>
      <c r="N36" s="13" t="str">
        <f aca="false">IF(OR(L36="",K36=""),"",L36*K36)</f>
        <v/>
      </c>
      <c r="O36" s="9"/>
      <c r="P36" s="14"/>
      <c r="Q36" s="14"/>
    </row>
    <row r="37" customFormat="false" ht="15" hidden="false" customHeight="false" outlineLevel="0" collapsed="false">
      <c r="A37" s="7" t="str">
        <f aca="false">IF(D37="","",COUNTA($D$2:D37))</f>
        <v/>
      </c>
      <c r="B37" s="8"/>
      <c r="C37" s="9"/>
      <c r="D37" s="9"/>
      <c r="E37" s="9"/>
      <c r="F37" s="10"/>
      <c r="G37" s="10"/>
      <c r="H37" s="10"/>
      <c r="I37" s="10"/>
      <c r="J37" s="9"/>
      <c r="K37" s="11" t="str">
        <f aca="false">IF(OR(F37="",G37="",J37=""),"",J37*ABS(F37-G37))</f>
        <v/>
      </c>
      <c r="L37" s="12" t="str">
        <f aca="false">IF(OR(F37="",G37="",I37="",F37=G37),"",IF(E37="Short",(F37-I37)/(F37-G37),(I37-F37)/(F37-G37)))</f>
        <v/>
      </c>
      <c r="M37" s="7" t="str">
        <f aca="false">IF(L37="","",IF(L37&gt;0.05,"Win",IF(L37&lt;-0.05,"Loss","Breakeven")))</f>
        <v/>
      </c>
      <c r="N37" s="13" t="str">
        <f aca="false">IF(OR(L37="",K37=""),"",L37*K37)</f>
        <v/>
      </c>
      <c r="O37" s="9"/>
      <c r="P37" s="14"/>
      <c r="Q37" s="14"/>
    </row>
    <row r="38" customFormat="false" ht="15" hidden="false" customHeight="false" outlineLevel="0" collapsed="false">
      <c r="A38" s="7" t="str">
        <f aca="false">IF(D38="","",COUNTA($D$2:D38))</f>
        <v/>
      </c>
      <c r="B38" s="8"/>
      <c r="C38" s="9"/>
      <c r="D38" s="9"/>
      <c r="E38" s="9"/>
      <c r="F38" s="10"/>
      <c r="G38" s="10"/>
      <c r="H38" s="10"/>
      <c r="I38" s="10"/>
      <c r="J38" s="9"/>
      <c r="K38" s="11" t="str">
        <f aca="false">IF(OR(F38="",G38="",J38=""),"",J38*ABS(F38-G38))</f>
        <v/>
      </c>
      <c r="L38" s="12" t="str">
        <f aca="false">IF(OR(F38="",G38="",I38="",F38=G38),"",IF(E38="Short",(F38-I38)/(F38-G38),(I38-F38)/(F38-G38)))</f>
        <v/>
      </c>
      <c r="M38" s="7" t="str">
        <f aca="false">IF(L38="","",IF(L38&gt;0.05,"Win",IF(L38&lt;-0.05,"Loss","Breakeven")))</f>
        <v/>
      </c>
      <c r="N38" s="13" t="str">
        <f aca="false">IF(OR(L38="",K38=""),"",L38*K38)</f>
        <v/>
      </c>
      <c r="O38" s="9"/>
      <c r="P38" s="14"/>
      <c r="Q38" s="14"/>
    </row>
    <row r="39" customFormat="false" ht="15" hidden="false" customHeight="false" outlineLevel="0" collapsed="false">
      <c r="A39" s="7" t="str">
        <f aca="false">IF(D39="","",COUNTA($D$2:D39))</f>
        <v/>
      </c>
      <c r="B39" s="8"/>
      <c r="C39" s="9"/>
      <c r="D39" s="9"/>
      <c r="E39" s="9"/>
      <c r="F39" s="10"/>
      <c r="G39" s="10"/>
      <c r="H39" s="10"/>
      <c r="I39" s="10"/>
      <c r="J39" s="9"/>
      <c r="K39" s="11" t="str">
        <f aca="false">IF(OR(F39="",G39="",J39=""),"",J39*ABS(F39-G39))</f>
        <v/>
      </c>
      <c r="L39" s="12" t="str">
        <f aca="false">IF(OR(F39="",G39="",I39="",F39=G39),"",IF(E39="Short",(F39-I39)/(F39-G39),(I39-F39)/(F39-G39)))</f>
        <v/>
      </c>
      <c r="M39" s="7" t="str">
        <f aca="false">IF(L39="","",IF(L39&gt;0.05,"Win",IF(L39&lt;-0.05,"Loss","Breakeven")))</f>
        <v/>
      </c>
      <c r="N39" s="13" t="str">
        <f aca="false">IF(OR(L39="",K39=""),"",L39*K39)</f>
        <v/>
      </c>
      <c r="O39" s="9"/>
      <c r="P39" s="14"/>
      <c r="Q39" s="14"/>
    </row>
    <row r="40" customFormat="false" ht="15" hidden="false" customHeight="false" outlineLevel="0" collapsed="false">
      <c r="A40" s="7" t="str">
        <f aca="false">IF(D40="","",COUNTA($D$2:D40))</f>
        <v/>
      </c>
      <c r="B40" s="8"/>
      <c r="C40" s="9"/>
      <c r="D40" s="9"/>
      <c r="E40" s="9"/>
      <c r="F40" s="10"/>
      <c r="G40" s="10"/>
      <c r="H40" s="10"/>
      <c r="I40" s="10"/>
      <c r="J40" s="9"/>
      <c r="K40" s="11" t="str">
        <f aca="false">IF(OR(F40="",G40="",J40=""),"",J40*ABS(F40-G40))</f>
        <v/>
      </c>
      <c r="L40" s="12" t="str">
        <f aca="false">IF(OR(F40="",G40="",I40="",F40=G40),"",IF(E40="Short",(F40-I40)/(F40-G40),(I40-F40)/(F40-G40)))</f>
        <v/>
      </c>
      <c r="M40" s="7" t="str">
        <f aca="false">IF(L40="","",IF(L40&gt;0.05,"Win",IF(L40&lt;-0.05,"Loss","Breakeven")))</f>
        <v/>
      </c>
      <c r="N40" s="13" t="str">
        <f aca="false">IF(OR(L40="",K40=""),"",L40*K40)</f>
        <v/>
      </c>
      <c r="O40" s="9"/>
      <c r="P40" s="14"/>
      <c r="Q40" s="14"/>
    </row>
    <row r="41" customFormat="false" ht="15" hidden="false" customHeight="false" outlineLevel="0" collapsed="false">
      <c r="A41" s="7" t="str">
        <f aca="false">IF(D41="","",COUNTA($D$2:D41))</f>
        <v/>
      </c>
      <c r="B41" s="8"/>
      <c r="C41" s="9"/>
      <c r="D41" s="9"/>
      <c r="E41" s="9"/>
      <c r="F41" s="10"/>
      <c r="G41" s="10"/>
      <c r="H41" s="10"/>
      <c r="I41" s="10"/>
      <c r="J41" s="9"/>
      <c r="K41" s="11" t="str">
        <f aca="false">IF(OR(F41="",G41="",J41=""),"",J41*ABS(F41-G41))</f>
        <v/>
      </c>
      <c r="L41" s="12" t="str">
        <f aca="false">IF(OR(F41="",G41="",I41="",F41=G41),"",IF(E41="Short",(F41-I41)/(F41-G41),(I41-F41)/(F41-G41)))</f>
        <v/>
      </c>
      <c r="M41" s="7" t="str">
        <f aca="false">IF(L41="","",IF(L41&gt;0.05,"Win",IF(L41&lt;-0.05,"Loss","Breakeven")))</f>
        <v/>
      </c>
      <c r="N41" s="13" t="str">
        <f aca="false">IF(OR(L41="",K41=""),"",L41*K41)</f>
        <v/>
      </c>
      <c r="O41" s="9"/>
      <c r="P41" s="14"/>
      <c r="Q41" s="14"/>
    </row>
    <row r="42" customFormat="false" ht="15" hidden="false" customHeight="false" outlineLevel="0" collapsed="false">
      <c r="A42" s="7" t="str">
        <f aca="false">IF(D42="","",COUNTA($D$2:D42))</f>
        <v/>
      </c>
      <c r="B42" s="8"/>
      <c r="C42" s="9"/>
      <c r="D42" s="9"/>
      <c r="E42" s="9"/>
      <c r="F42" s="10"/>
      <c r="G42" s="10"/>
      <c r="H42" s="10"/>
      <c r="I42" s="10"/>
      <c r="J42" s="9"/>
      <c r="K42" s="11" t="str">
        <f aca="false">IF(OR(F42="",G42="",J42=""),"",J42*ABS(F42-G42))</f>
        <v/>
      </c>
      <c r="L42" s="12" t="str">
        <f aca="false">IF(OR(F42="",G42="",I42="",F42=G42),"",IF(E42="Short",(F42-I42)/(F42-G42),(I42-F42)/(F42-G42)))</f>
        <v/>
      </c>
      <c r="M42" s="7" t="str">
        <f aca="false">IF(L42="","",IF(L42&gt;0.05,"Win",IF(L42&lt;-0.05,"Loss","Breakeven")))</f>
        <v/>
      </c>
      <c r="N42" s="13" t="str">
        <f aca="false">IF(OR(L42="",K42=""),"",L42*K42)</f>
        <v/>
      </c>
      <c r="O42" s="9"/>
      <c r="P42" s="14"/>
      <c r="Q42" s="14"/>
    </row>
    <row r="43" customFormat="false" ht="15" hidden="false" customHeight="false" outlineLevel="0" collapsed="false">
      <c r="A43" s="7" t="str">
        <f aca="false">IF(D43="","",COUNTA($D$2:D43))</f>
        <v/>
      </c>
      <c r="B43" s="8"/>
      <c r="C43" s="9"/>
      <c r="D43" s="9"/>
      <c r="E43" s="9"/>
      <c r="F43" s="10"/>
      <c r="G43" s="10"/>
      <c r="H43" s="10"/>
      <c r="I43" s="10"/>
      <c r="J43" s="9"/>
      <c r="K43" s="11" t="str">
        <f aca="false">IF(OR(F43="",G43="",J43=""),"",J43*ABS(F43-G43))</f>
        <v/>
      </c>
      <c r="L43" s="12" t="str">
        <f aca="false">IF(OR(F43="",G43="",I43="",F43=G43),"",IF(E43="Short",(F43-I43)/(F43-G43),(I43-F43)/(F43-G43)))</f>
        <v/>
      </c>
      <c r="M43" s="7" t="str">
        <f aca="false">IF(L43="","",IF(L43&gt;0.05,"Win",IF(L43&lt;-0.05,"Loss","Breakeven")))</f>
        <v/>
      </c>
      <c r="N43" s="13" t="str">
        <f aca="false">IF(OR(L43="",K43=""),"",L43*K43)</f>
        <v/>
      </c>
      <c r="O43" s="9"/>
      <c r="P43" s="14"/>
      <c r="Q43" s="14"/>
    </row>
    <row r="44" customFormat="false" ht="15" hidden="false" customHeight="false" outlineLevel="0" collapsed="false">
      <c r="A44" s="7" t="str">
        <f aca="false">IF(D44="","",COUNTA($D$2:D44))</f>
        <v/>
      </c>
      <c r="B44" s="8"/>
      <c r="C44" s="9"/>
      <c r="D44" s="9"/>
      <c r="E44" s="9"/>
      <c r="F44" s="10"/>
      <c r="G44" s="10"/>
      <c r="H44" s="10"/>
      <c r="I44" s="10"/>
      <c r="J44" s="9"/>
      <c r="K44" s="11" t="str">
        <f aca="false">IF(OR(F44="",G44="",J44=""),"",J44*ABS(F44-G44))</f>
        <v/>
      </c>
      <c r="L44" s="12" t="str">
        <f aca="false">IF(OR(F44="",G44="",I44="",F44=G44),"",IF(E44="Short",(F44-I44)/(F44-G44),(I44-F44)/(F44-G44)))</f>
        <v/>
      </c>
      <c r="M44" s="7" t="str">
        <f aca="false">IF(L44="","",IF(L44&gt;0.05,"Win",IF(L44&lt;-0.05,"Loss","Breakeven")))</f>
        <v/>
      </c>
      <c r="N44" s="13" t="str">
        <f aca="false">IF(OR(L44="",K44=""),"",L44*K44)</f>
        <v/>
      </c>
      <c r="O44" s="9"/>
      <c r="P44" s="14"/>
      <c r="Q44" s="14"/>
    </row>
    <row r="45" customFormat="false" ht="15" hidden="false" customHeight="false" outlineLevel="0" collapsed="false">
      <c r="A45" s="7" t="str">
        <f aca="false">IF(D45="","",COUNTA($D$2:D45))</f>
        <v/>
      </c>
      <c r="B45" s="8"/>
      <c r="C45" s="9"/>
      <c r="D45" s="9"/>
      <c r="E45" s="9"/>
      <c r="F45" s="10"/>
      <c r="G45" s="10"/>
      <c r="H45" s="10"/>
      <c r="I45" s="10"/>
      <c r="J45" s="9"/>
      <c r="K45" s="11" t="str">
        <f aca="false">IF(OR(F45="",G45="",J45=""),"",J45*ABS(F45-G45))</f>
        <v/>
      </c>
      <c r="L45" s="12" t="str">
        <f aca="false">IF(OR(F45="",G45="",I45="",F45=G45),"",IF(E45="Short",(F45-I45)/(F45-G45),(I45-F45)/(F45-G45)))</f>
        <v/>
      </c>
      <c r="M45" s="7" t="str">
        <f aca="false">IF(L45="","",IF(L45&gt;0.05,"Win",IF(L45&lt;-0.05,"Loss","Breakeven")))</f>
        <v/>
      </c>
      <c r="N45" s="13" t="str">
        <f aca="false">IF(OR(L45="",K45=""),"",L45*K45)</f>
        <v/>
      </c>
      <c r="O45" s="9"/>
      <c r="P45" s="14"/>
      <c r="Q45" s="14"/>
    </row>
    <row r="46" customFormat="false" ht="15" hidden="false" customHeight="false" outlineLevel="0" collapsed="false">
      <c r="A46" s="7" t="str">
        <f aca="false">IF(D46="","",COUNTA($D$2:D46))</f>
        <v/>
      </c>
      <c r="B46" s="8"/>
      <c r="C46" s="9"/>
      <c r="D46" s="9"/>
      <c r="E46" s="9"/>
      <c r="F46" s="10"/>
      <c r="G46" s="10"/>
      <c r="H46" s="10"/>
      <c r="I46" s="10"/>
      <c r="J46" s="9"/>
      <c r="K46" s="11" t="str">
        <f aca="false">IF(OR(F46="",G46="",J46=""),"",J46*ABS(F46-G46))</f>
        <v/>
      </c>
      <c r="L46" s="12" t="str">
        <f aca="false">IF(OR(F46="",G46="",I46="",F46=G46),"",IF(E46="Short",(F46-I46)/(F46-G46),(I46-F46)/(F46-G46)))</f>
        <v/>
      </c>
      <c r="M46" s="7" t="str">
        <f aca="false">IF(L46="","",IF(L46&gt;0.05,"Win",IF(L46&lt;-0.05,"Loss","Breakeven")))</f>
        <v/>
      </c>
      <c r="N46" s="13" t="str">
        <f aca="false">IF(OR(L46="",K46=""),"",L46*K46)</f>
        <v/>
      </c>
      <c r="O46" s="9"/>
      <c r="P46" s="14"/>
      <c r="Q46" s="14"/>
    </row>
    <row r="47" customFormat="false" ht="15" hidden="false" customHeight="false" outlineLevel="0" collapsed="false">
      <c r="A47" s="7" t="str">
        <f aca="false">IF(D47="","",COUNTA($D$2:D47))</f>
        <v/>
      </c>
      <c r="B47" s="8"/>
      <c r="C47" s="9"/>
      <c r="D47" s="9"/>
      <c r="E47" s="9"/>
      <c r="F47" s="10"/>
      <c r="G47" s="10"/>
      <c r="H47" s="10"/>
      <c r="I47" s="10"/>
      <c r="J47" s="9"/>
      <c r="K47" s="11" t="str">
        <f aca="false">IF(OR(F47="",G47="",J47=""),"",J47*ABS(F47-G47))</f>
        <v/>
      </c>
      <c r="L47" s="12" t="str">
        <f aca="false">IF(OR(F47="",G47="",I47="",F47=G47),"",IF(E47="Short",(F47-I47)/(F47-G47),(I47-F47)/(F47-G47)))</f>
        <v/>
      </c>
      <c r="M47" s="7" t="str">
        <f aca="false">IF(L47="","",IF(L47&gt;0.05,"Win",IF(L47&lt;-0.05,"Loss","Breakeven")))</f>
        <v/>
      </c>
      <c r="N47" s="13" t="str">
        <f aca="false">IF(OR(L47="",K47=""),"",L47*K47)</f>
        <v/>
      </c>
      <c r="O47" s="9"/>
      <c r="P47" s="14"/>
      <c r="Q47" s="14"/>
    </row>
    <row r="48" customFormat="false" ht="15" hidden="false" customHeight="false" outlineLevel="0" collapsed="false">
      <c r="A48" s="7" t="str">
        <f aca="false">IF(D48="","",COUNTA($D$2:D48))</f>
        <v/>
      </c>
      <c r="B48" s="8"/>
      <c r="C48" s="9"/>
      <c r="D48" s="9"/>
      <c r="E48" s="9"/>
      <c r="F48" s="10"/>
      <c r="G48" s="10"/>
      <c r="H48" s="10"/>
      <c r="I48" s="10"/>
      <c r="J48" s="9"/>
      <c r="K48" s="11" t="str">
        <f aca="false">IF(OR(F48="",G48="",J48=""),"",J48*ABS(F48-G48))</f>
        <v/>
      </c>
      <c r="L48" s="12" t="str">
        <f aca="false">IF(OR(F48="",G48="",I48="",F48=G48),"",IF(E48="Short",(F48-I48)/(F48-G48),(I48-F48)/(F48-G48)))</f>
        <v/>
      </c>
      <c r="M48" s="7" t="str">
        <f aca="false">IF(L48="","",IF(L48&gt;0.05,"Win",IF(L48&lt;-0.05,"Loss","Breakeven")))</f>
        <v/>
      </c>
      <c r="N48" s="13" t="str">
        <f aca="false">IF(OR(L48="",K48=""),"",L48*K48)</f>
        <v/>
      </c>
      <c r="O48" s="9"/>
      <c r="P48" s="14"/>
      <c r="Q48" s="14"/>
    </row>
    <row r="49" customFormat="false" ht="15" hidden="false" customHeight="false" outlineLevel="0" collapsed="false">
      <c r="A49" s="7" t="str">
        <f aca="false">IF(D49="","",COUNTA($D$2:D49))</f>
        <v/>
      </c>
      <c r="B49" s="8"/>
      <c r="C49" s="9"/>
      <c r="D49" s="9"/>
      <c r="E49" s="9"/>
      <c r="F49" s="10"/>
      <c r="G49" s="10"/>
      <c r="H49" s="10"/>
      <c r="I49" s="10"/>
      <c r="J49" s="9"/>
      <c r="K49" s="11" t="str">
        <f aca="false">IF(OR(F49="",G49="",J49=""),"",J49*ABS(F49-G49))</f>
        <v/>
      </c>
      <c r="L49" s="12" t="str">
        <f aca="false">IF(OR(F49="",G49="",I49="",F49=G49),"",IF(E49="Short",(F49-I49)/(F49-G49),(I49-F49)/(F49-G49)))</f>
        <v/>
      </c>
      <c r="M49" s="7" t="str">
        <f aca="false">IF(L49="","",IF(L49&gt;0.05,"Win",IF(L49&lt;-0.05,"Loss","Breakeven")))</f>
        <v/>
      </c>
      <c r="N49" s="13" t="str">
        <f aca="false">IF(OR(L49="",K49=""),"",L49*K49)</f>
        <v/>
      </c>
      <c r="O49" s="9"/>
      <c r="P49" s="14"/>
      <c r="Q49" s="14"/>
    </row>
    <row r="50" customFormat="false" ht="15" hidden="false" customHeight="false" outlineLevel="0" collapsed="false">
      <c r="A50" s="7" t="str">
        <f aca="false">IF(D50="","",COUNTA($D$2:D50))</f>
        <v/>
      </c>
      <c r="B50" s="8"/>
      <c r="C50" s="9"/>
      <c r="D50" s="9"/>
      <c r="E50" s="9"/>
      <c r="F50" s="10"/>
      <c r="G50" s="10"/>
      <c r="H50" s="10"/>
      <c r="I50" s="10"/>
      <c r="J50" s="9"/>
      <c r="K50" s="11" t="str">
        <f aca="false">IF(OR(F50="",G50="",J50=""),"",J50*ABS(F50-G50))</f>
        <v/>
      </c>
      <c r="L50" s="12" t="str">
        <f aca="false">IF(OR(F50="",G50="",I50="",F50=G50),"",IF(E50="Short",(F50-I50)/(F50-G50),(I50-F50)/(F50-G50)))</f>
        <v/>
      </c>
      <c r="M50" s="7" t="str">
        <f aca="false">IF(L50="","",IF(L50&gt;0.05,"Win",IF(L50&lt;-0.05,"Loss","Breakeven")))</f>
        <v/>
      </c>
      <c r="N50" s="13" t="str">
        <f aca="false">IF(OR(L50="",K50=""),"",L50*K50)</f>
        <v/>
      </c>
      <c r="O50" s="9"/>
      <c r="P50" s="14"/>
      <c r="Q50" s="14"/>
    </row>
    <row r="51" customFormat="false" ht="15" hidden="false" customHeight="false" outlineLevel="0" collapsed="false">
      <c r="A51" s="7" t="str">
        <f aca="false">IF(D51="","",COUNTA($D$2:D51))</f>
        <v/>
      </c>
      <c r="B51" s="8"/>
      <c r="C51" s="9"/>
      <c r="D51" s="9"/>
      <c r="E51" s="9"/>
      <c r="F51" s="10"/>
      <c r="G51" s="10"/>
      <c r="H51" s="10"/>
      <c r="I51" s="10"/>
      <c r="J51" s="9"/>
      <c r="K51" s="11" t="str">
        <f aca="false">IF(OR(F51="",G51="",J51=""),"",J51*ABS(F51-G51))</f>
        <v/>
      </c>
      <c r="L51" s="12" t="str">
        <f aca="false">IF(OR(F51="",G51="",I51="",F51=G51),"",IF(E51="Short",(F51-I51)/(F51-G51),(I51-F51)/(F51-G51)))</f>
        <v/>
      </c>
      <c r="M51" s="7" t="str">
        <f aca="false">IF(L51="","",IF(L51&gt;0.05,"Win",IF(L51&lt;-0.05,"Loss","Breakeven")))</f>
        <v/>
      </c>
      <c r="N51" s="13" t="str">
        <f aca="false">IF(OR(L51="",K51=""),"",L51*K51)</f>
        <v/>
      </c>
      <c r="O51" s="9"/>
      <c r="P51" s="14"/>
      <c r="Q51" s="14"/>
    </row>
    <row r="52" customFormat="false" ht="15" hidden="false" customHeight="false" outlineLevel="0" collapsed="false">
      <c r="A52" s="7" t="str">
        <f aca="false">IF(D52="","",COUNTA($D$2:D52))</f>
        <v/>
      </c>
      <c r="B52" s="8"/>
      <c r="C52" s="9"/>
      <c r="D52" s="9"/>
      <c r="E52" s="9"/>
      <c r="F52" s="10"/>
      <c r="G52" s="10"/>
      <c r="H52" s="10"/>
      <c r="I52" s="10"/>
      <c r="J52" s="9"/>
      <c r="K52" s="11" t="str">
        <f aca="false">IF(OR(F52="",G52="",J52=""),"",J52*ABS(F52-G52))</f>
        <v/>
      </c>
      <c r="L52" s="12" t="str">
        <f aca="false">IF(OR(F52="",G52="",I52="",F52=G52),"",IF(E52="Short",(F52-I52)/(F52-G52),(I52-F52)/(F52-G52)))</f>
        <v/>
      </c>
      <c r="M52" s="7" t="str">
        <f aca="false">IF(L52="","",IF(L52&gt;0.05,"Win",IF(L52&lt;-0.05,"Loss","Breakeven")))</f>
        <v/>
      </c>
      <c r="N52" s="13" t="str">
        <f aca="false">IF(OR(L52="",K52=""),"",L52*K52)</f>
        <v/>
      </c>
      <c r="O52" s="9"/>
      <c r="P52" s="14"/>
      <c r="Q52" s="14"/>
    </row>
    <row r="53" customFormat="false" ht="15" hidden="false" customHeight="false" outlineLevel="0" collapsed="false">
      <c r="A53" s="7" t="str">
        <f aca="false">IF(D53="","",COUNTA($D$2:D53))</f>
        <v/>
      </c>
      <c r="B53" s="8"/>
      <c r="C53" s="9"/>
      <c r="D53" s="9"/>
      <c r="E53" s="9"/>
      <c r="F53" s="10"/>
      <c r="G53" s="10"/>
      <c r="H53" s="10"/>
      <c r="I53" s="10"/>
      <c r="J53" s="9"/>
      <c r="K53" s="11" t="str">
        <f aca="false">IF(OR(F53="",G53="",J53=""),"",J53*ABS(F53-G53))</f>
        <v/>
      </c>
      <c r="L53" s="12" t="str">
        <f aca="false">IF(OR(F53="",G53="",I53="",F53=G53),"",IF(E53="Short",(F53-I53)/(F53-G53),(I53-F53)/(F53-G53)))</f>
        <v/>
      </c>
      <c r="M53" s="7" t="str">
        <f aca="false">IF(L53="","",IF(L53&gt;0.05,"Win",IF(L53&lt;-0.05,"Loss","Breakeven")))</f>
        <v/>
      </c>
      <c r="N53" s="13" t="str">
        <f aca="false">IF(OR(L53="",K53=""),"",L53*K53)</f>
        <v/>
      </c>
      <c r="O53" s="9"/>
      <c r="P53" s="14"/>
      <c r="Q53" s="14"/>
    </row>
    <row r="54" customFormat="false" ht="15" hidden="false" customHeight="false" outlineLevel="0" collapsed="false">
      <c r="A54" s="7" t="str">
        <f aca="false">IF(D54="","",COUNTA($D$2:D54))</f>
        <v/>
      </c>
      <c r="B54" s="8"/>
      <c r="C54" s="9"/>
      <c r="D54" s="9"/>
      <c r="E54" s="9"/>
      <c r="F54" s="10"/>
      <c r="G54" s="10"/>
      <c r="H54" s="10"/>
      <c r="I54" s="10"/>
      <c r="J54" s="9"/>
      <c r="K54" s="11" t="str">
        <f aca="false">IF(OR(F54="",G54="",J54=""),"",J54*ABS(F54-G54))</f>
        <v/>
      </c>
      <c r="L54" s="12" t="str">
        <f aca="false">IF(OR(F54="",G54="",I54="",F54=G54),"",IF(E54="Short",(F54-I54)/(F54-G54),(I54-F54)/(F54-G54)))</f>
        <v/>
      </c>
      <c r="M54" s="7" t="str">
        <f aca="false">IF(L54="","",IF(L54&gt;0.05,"Win",IF(L54&lt;-0.05,"Loss","Breakeven")))</f>
        <v/>
      </c>
      <c r="N54" s="13" t="str">
        <f aca="false">IF(OR(L54="",K54=""),"",L54*K54)</f>
        <v/>
      </c>
      <c r="O54" s="9"/>
      <c r="P54" s="14"/>
      <c r="Q54" s="14"/>
    </row>
    <row r="55" customFormat="false" ht="15" hidden="false" customHeight="false" outlineLevel="0" collapsed="false">
      <c r="A55" s="7" t="str">
        <f aca="false">IF(D55="","",COUNTA($D$2:D55))</f>
        <v/>
      </c>
      <c r="B55" s="8"/>
      <c r="C55" s="9"/>
      <c r="D55" s="9"/>
      <c r="E55" s="9"/>
      <c r="F55" s="10"/>
      <c r="G55" s="10"/>
      <c r="H55" s="10"/>
      <c r="I55" s="10"/>
      <c r="J55" s="9"/>
      <c r="K55" s="11" t="str">
        <f aca="false">IF(OR(F55="",G55="",J55=""),"",J55*ABS(F55-G55))</f>
        <v/>
      </c>
      <c r="L55" s="12" t="str">
        <f aca="false">IF(OR(F55="",G55="",I55="",F55=G55),"",IF(E55="Short",(F55-I55)/(F55-G55),(I55-F55)/(F55-G55)))</f>
        <v/>
      </c>
      <c r="M55" s="7" t="str">
        <f aca="false">IF(L55="","",IF(L55&gt;0.05,"Win",IF(L55&lt;-0.05,"Loss","Breakeven")))</f>
        <v/>
      </c>
      <c r="N55" s="13" t="str">
        <f aca="false">IF(OR(L55="",K55=""),"",L55*K55)</f>
        <v/>
      </c>
      <c r="O55" s="9"/>
      <c r="P55" s="14"/>
      <c r="Q55" s="14"/>
    </row>
    <row r="56" customFormat="false" ht="15" hidden="false" customHeight="false" outlineLevel="0" collapsed="false">
      <c r="A56" s="7" t="str">
        <f aca="false">IF(D56="","",COUNTA($D$2:D56))</f>
        <v/>
      </c>
      <c r="B56" s="8"/>
      <c r="C56" s="9"/>
      <c r="D56" s="9"/>
      <c r="E56" s="9"/>
      <c r="F56" s="10"/>
      <c r="G56" s="10"/>
      <c r="H56" s="10"/>
      <c r="I56" s="10"/>
      <c r="J56" s="9"/>
      <c r="K56" s="11" t="str">
        <f aca="false">IF(OR(F56="",G56="",J56=""),"",J56*ABS(F56-G56))</f>
        <v/>
      </c>
      <c r="L56" s="12" t="str">
        <f aca="false">IF(OR(F56="",G56="",I56="",F56=G56),"",IF(E56="Short",(F56-I56)/(F56-G56),(I56-F56)/(F56-G56)))</f>
        <v/>
      </c>
      <c r="M56" s="7" t="str">
        <f aca="false">IF(L56="","",IF(L56&gt;0.05,"Win",IF(L56&lt;-0.05,"Loss","Breakeven")))</f>
        <v/>
      </c>
      <c r="N56" s="13" t="str">
        <f aca="false">IF(OR(L56="",K56=""),"",L56*K56)</f>
        <v/>
      </c>
      <c r="O56" s="9"/>
      <c r="P56" s="14"/>
      <c r="Q56" s="14"/>
    </row>
    <row r="57" customFormat="false" ht="15" hidden="false" customHeight="false" outlineLevel="0" collapsed="false">
      <c r="A57" s="7" t="str">
        <f aca="false">IF(D57="","",COUNTA($D$2:D57))</f>
        <v/>
      </c>
      <c r="B57" s="8"/>
      <c r="C57" s="9"/>
      <c r="D57" s="9"/>
      <c r="E57" s="9"/>
      <c r="F57" s="10"/>
      <c r="G57" s="10"/>
      <c r="H57" s="10"/>
      <c r="I57" s="10"/>
      <c r="J57" s="9"/>
      <c r="K57" s="11" t="str">
        <f aca="false">IF(OR(F57="",G57="",J57=""),"",J57*ABS(F57-G57))</f>
        <v/>
      </c>
      <c r="L57" s="12" t="str">
        <f aca="false">IF(OR(F57="",G57="",I57="",F57=G57),"",IF(E57="Short",(F57-I57)/(F57-G57),(I57-F57)/(F57-G57)))</f>
        <v/>
      </c>
      <c r="M57" s="7" t="str">
        <f aca="false">IF(L57="","",IF(L57&gt;0.05,"Win",IF(L57&lt;-0.05,"Loss","Breakeven")))</f>
        <v/>
      </c>
      <c r="N57" s="13" t="str">
        <f aca="false">IF(OR(L57="",K57=""),"",L57*K57)</f>
        <v/>
      </c>
      <c r="O57" s="9"/>
      <c r="P57" s="14"/>
      <c r="Q57" s="14"/>
    </row>
    <row r="58" customFormat="false" ht="15" hidden="false" customHeight="false" outlineLevel="0" collapsed="false">
      <c r="A58" s="7" t="str">
        <f aca="false">IF(D58="","",COUNTA($D$2:D58))</f>
        <v/>
      </c>
      <c r="B58" s="8"/>
      <c r="C58" s="9"/>
      <c r="D58" s="9"/>
      <c r="E58" s="9"/>
      <c r="F58" s="10"/>
      <c r="G58" s="10"/>
      <c r="H58" s="10"/>
      <c r="I58" s="10"/>
      <c r="J58" s="9"/>
      <c r="K58" s="11" t="str">
        <f aca="false">IF(OR(F58="",G58="",J58=""),"",J58*ABS(F58-G58))</f>
        <v/>
      </c>
      <c r="L58" s="12" t="str">
        <f aca="false">IF(OR(F58="",G58="",I58="",F58=G58),"",IF(E58="Short",(F58-I58)/(F58-G58),(I58-F58)/(F58-G58)))</f>
        <v/>
      </c>
      <c r="M58" s="7" t="str">
        <f aca="false">IF(L58="","",IF(L58&gt;0.05,"Win",IF(L58&lt;-0.05,"Loss","Breakeven")))</f>
        <v/>
      </c>
      <c r="N58" s="13" t="str">
        <f aca="false">IF(OR(L58="",K58=""),"",L58*K58)</f>
        <v/>
      </c>
      <c r="O58" s="9"/>
      <c r="P58" s="14"/>
      <c r="Q58" s="14"/>
    </row>
    <row r="59" customFormat="false" ht="15" hidden="false" customHeight="false" outlineLevel="0" collapsed="false">
      <c r="A59" s="7" t="str">
        <f aca="false">IF(D59="","",COUNTA($D$2:D59))</f>
        <v/>
      </c>
      <c r="B59" s="8"/>
      <c r="C59" s="9"/>
      <c r="D59" s="9"/>
      <c r="E59" s="9"/>
      <c r="F59" s="10"/>
      <c r="G59" s="10"/>
      <c r="H59" s="10"/>
      <c r="I59" s="10"/>
      <c r="J59" s="9"/>
      <c r="K59" s="11" t="str">
        <f aca="false">IF(OR(F59="",G59="",J59=""),"",J59*ABS(F59-G59))</f>
        <v/>
      </c>
      <c r="L59" s="12" t="str">
        <f aca="false">IF(OR(F59="",G59="",I59="",F59=G59),"",IF(E59="Short",(F59-I59)/(F59-G59),(I59-F59)/(F59-G59)))</f>
        <v/>
      </c>
      <c r="M59" s="7" t="str">
        <f aca="false">IF(L59="","",IF(L59&gt;0.05,"Win",IF(L59&lt;-0.05,"Loss","Breakeven")))</f>
        <v/>
      </c>
      <c r="N59" s="13" t="str">
        <f aca="false">IF(OR(L59="",K59=""),"",L59*K59)</f>
        <v/>
      </c>
      <c r="O59" s="9"/>
      <c r="P59" s="14"/>
      <c r="Q59" s="14"/>
    </row>
    <row r="60" customFormat="false" ht="15" hidden="false" customHeight="false" outlineLevel="0" collapsed="false">
      <c r="A60" s="7" t="str">
        <f aca="false">IF(D60="","",COUNTA($D$2:D60))</f>
        <v/>
      </c>
      <c r="B60" s="8"/>
      <c r="C60" s="9"/>
      <c r="D60" s="9"/>
      <c r="E60" s="9"/>
      <c r="F60" s="10"/>
      <c r="G60" s="10"/>
      <c r="H60" s="10"/>
      <c r="I60" s="10"/>
      <c r="J60" s="9"/>
      <c r="K60" s="11" t="str">
        <f aca="false">IF(OR(F60="",G60="",J60=""),"",J60*ABS(F60-G60))</f>
        <v/>
      </c>
      <c r="L60" s="12" t="str">
        <f aca="false">IF(OR(F60="",G60="",I60="",F60=G60),"",IF(E60="Short",(F60-I60)/(F60-G60),(I60-F60)/(F60-G60)))</f>
        <v/>
      </c>
      <c r="M60" s="7" t="str">
        <f aca="false">IF(L60="","",IF(L60&gt;0.05,"Win",IF(L60&lt;-0.05,"Loss","Breakeven")))</f>
        <v/>
      </c>
      <c r="N60" s="13" t="str">
        <f aca="false">IF(OR(L60="",K60=""),"",L60*K60)</f>
        <v/>
      </c>
      <c r="O60" s="9"/>
      <c r="P60" s="14"/>
      <c r="Q60" s="14"/>
    </row>
    <row r="61" customFormat="false" ht="15" hidden="false" customHeight="false" outlineLevel="0" collapsed="false">
      <c r="A61" s="7" t="str">
        <f aca="false">IF(D61="","",COUNTA($D$2:D61))</f>
        <v/>
      </c>
      <c r="B61" s="8"/>
      <c r="C61" s="9"/>
      <c r="D61" s="9"/>
      <c r="E61" s="9"/>
      <c r="F61" s="10"/>
      <c r="G61" s="10"/>
      <c r="H61" s="10"/>
      <c r="I61" s="10"/>
      <c r="J61" s="9"/>
      <c r="K61" s="11" t="str">
        <f aca="false">IF(OR(F61="",G61="",J61=""),"",J61*ABS(F61-G61))</f>
        <v/>
      </c>
      <c r="L61" s="12" t="str">
        <f aca="false">IF(OR(F61="",G61="",I61="",F61=G61),"",IF(E61="Short",(F61-I61)/(F61-G61),(I61-F61)/(F61-G61)))</f>
        <v/>
      </c>
      <c r="M61" s="7" t="str">
        <f aca="false">IF(L61="","",IF(L61&gt;0.05,"Win",IF(L61&lt;-0.05,"Loss","Breakeven")))</f>
        <v/>
      </c>
      <c r="N61" s="13" t="str">
        <f aca="false">IF(OR(L61="",K61=""),"",L61*K61)</f>
        <v/>
      </c>
      <c r="O61" s="9"/>
      <c r="P61" s="14"/>
      <c r="Q61" s="14"/>
    </row>
    <row r="62" customFormat="false" ht="15" hidden="false" customHeight="false" outlineLevel="0" collapsed="false">
      <c r="A62" s="7" t="str">
        <f aca="false">IF(D62="","",COUNTA($D$2:D62))</f>
        <v/>
      </c>
      <c r="B62" s="8"/>
      <c r="C62" s="9"/>
      <c r="D62" s="9"/>
      <c r="E62" s="9"/>
      <c r="F62" s="10"/>
      <c r="G62" s="10"/>
      <c r="H62" s="10"/>
      <c r="I62" s="10"/>
      <c r="J62" s="9"/>
      <c r="K62" s="11" t="str">
        <f aca="false">IF(OR(F62="",G62="",J62=""),"",J62*ABS(F62-G62))</f>
        <v/>
      </c>
      <c r="L62" s="12" t="str">
        <f aca="false">IF(OR(F62="",G62="",I62="",F62=G62),"",IF(E62="Short",(F62-I62)/(F62-G62),(I62-F62)/(F62-G62)))</f>
        <v/>
      </c>
      <c r="M62" s="7" t="str">
        <f aca="false">IF(L62="","",IF(L62&gt;0.05,"Win",IF(L62&lt;-0.05,"Loss","Breakeven")))</f>
        <v/>
      </c>
      <c r="N62" s="13" t="str">
        <f aca="false">IF(OR(L62="",K62=""),"",L62*K62)</f>
        <v/>
      </c>
      <c r="O62" s="9"/>
      <c r="P62" s="14"/>
      <c r="Q62" s="14"/>
    </row>
    <row r="63" customFormat="false" ht="15" hidden="false" customHeight="false" outlineLevel="0" collapsed="false">
      <c r="A63" s="7" t="str">
        <f aca="false">IF(D63="","",COUNTA($D$2:D63))</f>
        <v/>
      </c>
      <c r="B63" s="8"/>
      <c r="C63" s="9"/>
      <c r="D63" s="9"/>
      <c r="E63" s="9"/>
      <c r="F63" s="10"/>
      <c r="G63" s="10"/>
      <c r="H63" s="10"/>
      <c r="I63" s="10"/>
      <c r="J63" s="9"/>
      <c r="K63" s="11" t="str">
        <f aca="false">IF(OR(F63="",G63="",J63=""),"",J63*ABS(F63-G63))</f>
        <v/>
      </c>
      <c r="L63" s="12" t="str">
        <f aca="false">IF(OR(F63="",G63="",I63="",F63=G63),"",IF(E63="Short",(F63-I63)/(F63-G63),(I63-F63)/(F63-G63)))</f>
        <v/>
      </c>
      <c r="M63" s="7" t="str">
        <f aca="false">IF(L63="","",IF(L63&gt;0.05,"Win",IF(L63&lt;-0.05,"Loss","Breakeven")))</f>
        <v/>
      </c>
      <c r="N63" s="13" t="str">
        <f aca="false">IF(OR(L63="",K63=""),"",L63*K63)</f>
        <v/>
      </c>
      <c r="O63" s="9"/>
      <c r="P63" s="14"/>
      <c r="Q63" s="14"/>
    </row>
    <row r="64" customFormat="false" ht="15" hidden="false" customHeight="false" outlineLevel="0" collapsed="false">
      <c r="A64" s="7" t="str">
        <f aca="false">IF(D64="","",COUNTA($D$2:D64))</f>
        <v/>
      </c>
      <c r="B64" s="8"/>
      <c r="C64" s="9"/>
      <c r="D64" s="9"/>
      <c r="E64" s="9"/>
      <c r="F64" s="10"/>
      <c r="G64" s="10"/>
      <c r="H64" s="10"/>
      <c r="I64" s="10"/>
      <c r="J64" s="9"/>
      <c r="K64" s="11" t="str">
        <f aca="false">IF(OR(F64="",G64="",J64=""),"",J64*ABS(F64-G64))</f>
        <v/>
      </c>
      <c r="L64" s="12" t="str">
        <f aca="false">IF(OR(F64="",G64="",I64="",F64=G64),"",IF(E64="Short",(F64-I64)/(F64-G64),(I64-F64)/(F64-G64)))</f>
        <v/>
      </c>
      <c r="M64" s="7" t="str">
        <f aca="false">IF(L64="","",IF(L64&gt;0.05,"Win",IF(L64&lt;-0.05,"Loss","Breakeven")))</f>
        <v/>
      </c>
      <c r="N64" s="13" t="str">
        <f aca="false">IF(OR(L64="",K64=""),"",L64*K64)</f>
        <v/>
      </c>
      <c r="O64" s="9"/>
      <c r="P64" s="14"/>
      <c r="Q64" s="14"/>
    </row>
    <row r="65" customFormat="false" ht="15" hidden="false" customHeight="false" outlineLevel="0" collapsed="false">
      <c r="A65" s="7" t="str">
        <f aca="false">IF(D65="","",COUNTA($D$2:D65))</f>
        <v/>
      </c>
      <c r="B65" s="8"/>
      <c r="C65" s="9"/>
      <c r="D65" s="9"/>
      <c r="E65" s="9"/>
      <c r="F65" s="10"/>
      <c r="G65" s="10"/>
      <c r="H65" s="10"/>
      <c r="I65" s="10"/>
      <c r="J65" s="9"/>
      <c r="K65" s="11" t="str">
        <f aca="false">IF(OR(F65="",G65="",J65=""),"",J65*ABS(F65-G65))</f>
        <v/>
      </c>
      <c r="L65" s="12" t="str">
        <f aca="false">IF(OR(F65="",G65="",I65="",F65=G65),"",IF(E65="Short",(F65-I65)/(F65-G65),(I65-F65)/(F65-G65)))</f>
        <v/>
      </c>
      <c r="M65" s="7" t="str">
        <f aca="false">IF(L65="","",IF(L65&gt;0.05,"Win",IF(L65&lt;-0.05,"Loss","Breakeven")))</f>
        <v/>
      </c>
      <c r="N65" s="13" t="str">
        <f aca="false">IF(OR(L65="",K65=""),"",L65*K65)</f>
        <v/>
      </c>
      <c r="O65" s="9"/>
      <c r="P65" s="14"/>
      <c r="Q65" s="14"/>
    </row>
    <row r="66" customFormat="false" ht="15" hidden="false" customHeight="false" outlineLevel="0" collapsed="false">
      <c r="A66" s="7" t="str">
        <f aca="false">IF(D66="","",COUNTA($D$2:D66))</f>
        <v/>
      </c>
      <c r="B66" s="8"/>
      <c r="C66" s="9"/>
      <c r="D66" s="9"/>
      <c r="E66" s="9"/>
      <c r="F66" s="10"/>
      <c r="G66" s="10"/>
      <c r="H66" s="10"/>
      <c r="I66" s="10"/>
      <c r="J66" s="9"/>
      <c r="K66" s="11" t="str">
        <f aca="false">IF(OR(F66="",G66="",J66=""),"",J66*ABS(F66-G66))</f>
        <v/>
      </c>
      <c r="L66" s="12" t="str">
        <f aca="false">IF(OR(F66="",G66="",I66="",F66=G66),"",IF(E66="Short",(F66-I66)/(F66-G66),(I66-F66)/(F66-G66)))</f>
        <v/>
      </c>
      <c r="M66" s="7" t="str">
        <f aca="false">IF(L66="","",IF(L66&gt;0.05,"Win",IF(L66&lt;-0.05,"Loss","Breakeven")))</f>
        <v/>
      </c>
      <c r="N66" s="13" t="str">
        <f aca="false">IF(OR(L66="",K66=""),"",L66*K66)</f>
        <v/>
      </c>
      <c r="O66" s="9"/>
      <c r="P66" s="14"/>
      <c r="Q66" s="14"/>
    </row>
    <row r="67" customFormat="false" ht="15" hidden="false" customHeight="false" outlineLevel="0" collapsed="false">
      <c r="A67" s="7" t="str">
        <f aca="false">IF(D67="","",COUNTA($D$2:D67))</f>
        <v/>
      </c>
      <c r="B67" s="8"/>
      <c r="C67" s="9"/>
      <c r="D67" s="9"/>
      <c r="E67" s="9"/>
      <c r="F67" s="10"/>
      <c r="G67" s="10"/>
      <c r="H67" s="10"/>
      <c r="I67" s="10"/>
      <c r="J67" s="9"/>
      <c r="K67" s="11" t="str">
        <f aca="false">IF(OR(F67="",G67="",J67=""),"",J67*ABS(F67-G67))</f>
        <v/>
      </c>
      <c r="L67" s="12" t="str">
        <f aca="false">IF(OR(F67="",G67="",I67="",F67=G67),"",IF(E67="Short",(F67-I67)/(F67-G67),(I67-F67)/(F67-G67)))</f>
        <v/>
      </c>
      <c r="M67" s="7" t="str">
        <f aca="false">IF(L67="","",IF(L67&gt;0.05,"Win",IF(L67&lt;-0.05,"Loss","Breakeven")))</f>
        <v/>
      </c>
      <c r="N67" s="13" t="str">
        <f aca="false">IF(OR(L67="",K67=""),"",L67*K67)</f>
        <v/>
      </c>
      <c r="O67" s="9"/>
      <c r="P67" s="14"/>
      <c r="Q67" s="14"/>
    </row>
    <row r="68" customFormat="false" ht="15" hidden="false" customHeight="false" outlineLevel="0" collapsed="false">
      <c r="A68" s="7" t="str">
        <f aca="false">IF(D68="","",COUNTA($D$2:D68))</f>
        <v/>
      </c>
      <c r="B68" s="8"/>
      <c r="C68" s="9"/>
      <c r="D68" s="9"/>
      <c r="E68" s="9"/>
      <c r="F68" s="10"/>
      <c r="G68" s="10"/>
      <c r="H68" s="10"/>
      <c r="I68" s="10"/>
      <c r="J68" s="9"/>
      <c r="K68" s="11" t="str">
        <f aca="false">IF(OR(F68="",G68="",J68=""),"",J68*ABS(F68-G68))</f>
        <v/>
      </c>
      <c r="L68" s="12" t="str">
        <f aca="false">IF(OR(F68="",G68="",I68="",F68=G68),"",IF(E68="Short",(F68-I68)/(F68-G68),(I68-F68)/(F68-G68)))</f>
        <v/>
      </c>
      <c r="M68" s="7" t="str">
        <f aca="false">IF(L68="","",IF(L68&gt;0.05,"Win",IF(L68&lt;-0.05,"Loss","Breakeven")))</f>
        <v/>
      </c>
      <c r="N68" s="13" t="str">
        <f aca="false">IF(OR(L68="",K68=""),"",L68*K68)</f>
        <v/>
      </c>
      <c r="O68" s="9"/>
      <c r="P68" s="14"/>
      <c r="Q68" s="14"/>
    </row>
    <row r="69" customFormat="false" ht="15" hidden="false" customHeight="false" outlineLevel="0" collapsed="false">
      <c r="A69" s="7" t="str">
        <f aca="false">IF(D69="","",COUNTA($D$2:D69))</f>
        <v/>
      </c>
      <c r="B69" s="8"/>
      <c r="C69" s="9"/>
      <c r="D69" s="9"/>
      <c r="E69" s="9"/>
      <c r="F69" s="10"/>
      <c r="G69" s="10"/>
      <c r="H69" s="10"/>
      <c r="I69" s="10"/>
      <c r="J69" s="9"/>
      <c r="K69" s="11" t="str">
        <f aca="false">IF(OR(F69="",G69="",J69=""),"",J69*ABS(F69-G69))</f>
        <v/>
      </c>
      <c r="L69" s="12" t="str">
        <f aca="false">IF(OR(F69="",G69="",I69="",F69=G69),"",IF(E69="Short",(F69-I69)/(F69-G69),(I69-F69)/(F69-G69)))</f>
        <v/>
      </c>
      <c r="M69" s="7" t="str">
        <f aca="false">IF(L69="","",IF(L69&gt;0.05,"Win",IF(L69&lt;-0.05,"Loss","Breakeven")))</f>
        <v/>
      </c>
      <c r="N69" s="13" t="str">
        <f aca="false">IF(OR(L69="",K69=""),"",L69*K69)</f>
        <v/>
      </c>
      <c r="O69" s="9"/>
      <c r="P69" s="14"/>
      <c r="Q69" s="14"/>
    </row>
    <row r="70" customFormat="false" ht="15" hidden="false" customHeight="false" outlineLevel="0" collapsed="false">
      <c r="A70" s="7" t="str">
        <f aca="false">IF(D70="","",COUNTA($D$2:D70))</f>
        <v/>
      </c>
      <c r="B70" s="8"/>
      <c r="C70" s="9"/>
      <c r="D70" s="9"/>
      <c r="E70" s="9"/>
      <c r="F70" s="10"/>
      <c r="G70" s="10"/>
      <c r="H70" s="10"/>
      <c r="I70" s="10"/>
      <c r="J70" s="9"/>
      <c r="K70" s="11" t="str">
        <f aca="false">IF(OR(F70="",G70="",J70=""),"",J70*ABS(F70-G70))</f>
        <v/>
      </c>
      <c r="L70" s="12" t="str">
        <f aca="false">IF(OR(F70="",G70="",I70="",F70=G70),"",IF(E70="Short",(F70-I70)/(F70-G70),(I70-F70)/(F70-G70)))</f>
        <v/>
      </c>
      <c r="M70" s="7" t="str">
        <f aca="false">IF(L70="","",IF(L70&gt;0.05,"Win",IF(L70&lt;-0.05,"Loss","Breakeven")))</f>
        <v/>
      </c>
      <c r="N70" s="13" t="str">
        <f aca="false">IF(OR(L70="",K70=""),"",L70*K70)</f>
        <v/>
      </c>
      <c r="O70" s="9"/>
      <c r="P70" s="14"/>
      <c r="Q70" s="14"/>
    </row>
    <row r="71" customFormat="false" ht="15" hidden="false" customHeight="false" outlineLevel="0" collapsed="false">
      <c r="A71" s="7" t="str">
        <f aca="false">IF(D71="","",COUNTA($D$2:D71))</f>
        <v/>
      </c>
      <c r="B71" s="8"/>
      <c r="C71" s="9"/>
      <c r="D71" s="9"/>
      <c r="E71" s="9"/>
      <c r="F71" s="10"/>
      <c r="G71" s="10"/>
      <c r="H71" s="10"/>
      <c r="I71" s="10"/>
      <c r="J71" s="9"/>
      <c r="K71" s="11" t="str">
        <f aca="false">IF(OR(F71="",G71="",J71=""),"",J71*ABS(F71-G71))</f>
        <v/>
      </c>
      <c r="L71" s="12" t="str">
        <f aca="false">IF(OR(F71="",G71="",I71="",F71=G71),"",IF(E71="Short",(F71-I71)/(F71-G71),(I71-F71)/(F71-G71)))</f>
        <v/>
      </c>
      <c r="M71" s="7" t="str">
        <f aca="false">IF(L71="","",IF(L71&gt;0.05,"Win",IF(L71&lt;-0.05,"Loss","Breakeven")))</f>
        <v/>
      </c>
      <c r="N71" s="13" t="str">
        <f aca="false">IF(OR(L71="",K71=""),"",L71*K71)</f>
        <v/>
      </c>
      <c r="O71" s="9"/>
      <c r="P71" s="14"/>
      <c r="Q71" s="14"/>
    </row>
    <row r="72" customFormat="false" ht="15" hidden="false" customHeight="false" outlineLevel="0" collapsed="false">
      <c r="A72" s="7" t="str">
        <f aca="false">IF(D72="","",COUNTA($D$2:D72))</f>
        <v/>
      </c>
      <c r="B72" s="8"/>
      <c r="C72" s="9"/>
      <c r="D72" s="9"/>
      <c r="E72" s="9"/>
      <c r="F72" s="10"/>
      <c r="G72" s="10"/>
      <c r="H72" s="10"/>
      <c r="I72" s="10"/>
      <c r="J72" s="9"/>
      <c r="K72" s="11" t="str">
        <f aca="false">IF(OR(F72="",G72="",J72=""),"",J72*ABS(F72-G72))</f>
        <v/>
      </c>
      <c r="L72" s="12" t="str">
        <f aca="false">IF(OR(F72="",G72="",I72="",F72=G72),"",IF(E72="Short",(F72-I72)/(F72-G72),(I72-F72)/(F72-G72)))</f>
        <v/>
      </c>
      <c r="M72" s="7" t="str">
        <f aca="false">IF(L72="","",IF(L72&gt;0.05,"Win",IF(L72&lt;-0.05,"Loss","Breakeven")))</f>
        <v/>
      </c>
      <c r="N72" s="13" t="str">
        <f aca="false">IF(OR(L72="",K72=""),"",L72*K72)</f>
        <v/>
      </c>
      <c r="O72" s="9"/>
      <c r="P72" s="14"/>
      <c r="Q72" s="14"/>
    </row>
    <row r="73" customFormat="false" ht="15" hidden="false" customHeight="false" outlineLevel="0" collapsed="false">
      <c r="A73" s="7" t="str">
        <f aca="false">IF(D73="","",COUNTA($D$2:D73))</f>
        <v/>
      </c>
      <c r="B73" s="8"/>
      <c r="C73" s="9"/>
      <c r="D73" s="9"/>
      <c r="E73" s="9"/>
      <c r="F73" s="10"/>
      <c r="G73" s="10"/>
      <c r="H73" s="10"/>
      <c r="I73" s="10"/>
      <c r="J73" s="9"/>
      <c r="K73" s="11" t="str">
        <f aca="false">IF(OR(F73="",G73="",J73=""),"",J73*ABS(F73-G73))</f>
        <v/>
      </c>
      <c r="L73" s="12" t="str">
        <f aca="false">IF(OR(F73="",G73="",I73="",F73=G73),"",IF(E73="Short",(F73-I73)/(F73-G73),(I73-F73)/(F73-G73)))</f>
        <v/>
      </c>
      <c r="M73" s="7" t="str">
        <f aca="false">IF(L73="","",IF(L73&gt;0.05,"Win",IF(L73&lt;-0.05,"Loss","Breakeven")))</f>
        <v/>
      </c>
      <c r="N73" s="13" t="str">
        <f aca="false">IF(OR(L73="",K73=""),"",L73*K73)</f>
        <v/>
      </c>
      <c r="O73" s="9"/>
      <c r="P73" s="14"/>
      <c r="Q73" s="14"/>
    </row>
    <row r="74" customFormat="false" ht="15" hidden="false" customHeight="false" outlineLevel="0" collapsed="false">
      <c r="A74" s="7" t="str">
        <f aca="false">IF(D74="","",COUNTA($D$2:D74))</f>
        <v/>
      </c>
      <c r="B74" s="8"/>
      <c r="C74" s="9"/>
      <c r="D74" s="9"/>
      <c r="E74" s="9"/>
      <c r="F74" s="10"/>
      <c r="G74" s="10"/>
      <c r="H74" s="10"/>
      <c r="I74" s="10"/>
      <c r="J74" s="9"/>
      <c r="K74" s="11" t="str">
        <f aca="false">IF(OR(F74="",G74="",J74=""),"",J74*ABS(F74-G74))</f>
        <v/>
      </c>
      <c r="L74" s="12" t="str">
        <f aca="false">IF(OR(F74="",G74="",I74="",F74=G74),"",IF(E74="Short",(F74-I74)/(F74-G74),(I74-F74)/(F74-G74)))</f>
        <v/>
      </c>
      <c r="M74" s="7" t="str">
        <f aca="false">IF(L74="","",IF(L74&gt;0.05,"Win",IF(L74&lt;-0.05,"Loss","Breakeven")))</f>
        <v/>
      </c>
      <c r="N74" s="13" t="str">
        <f aca="false">IF(OR(L74="",K74=""),"",L74*K74)</f>
        <v/>
      </c>
      <c r="O74" s="9"/>
      <c r="P74" s="14"/>
      <c r="Q74" s="14"/>
    </row>
    <row r="75" customFormat="false" ht="15" hidden="false" customHeight="false" outlineLevel="0" collapsed="false">
      <c r="A75" s="7" t="str">
        <f aca="false">IF(D75="","",COUNTA($D$2:D75))</f>
        <v/>
      </c>
      <c r="B75" s="8"/>
      <c r="C75" s="9"/>
      <c r="D75" s="9"/>
      <c r="E75" s="9"/>
      <c r="F75" s="10"/>
      <c r="G75" s="10"/>
      <c r="H75" s="10"/>
      <c r="I75" s="10"/>
      <c r="J75" s="9"/>
      <c r="K75" s="11" t="str">
        <f aca="false">IF(OR(F75="",G75="",J75=""),"",J75*ABS(F75-G75))</f>
        <v/>
      </c>
      <c r="L75" s="12" t="str">
        <f aca="false">IF(OR(F75="",G75="",I75="",F75=G75),"",IF(E75="Short",(F75-I75)/(F75-G75),(I75-F75)/(F75-G75)))</f>
        <v/>
      </c>
      <c r="M75" s="7" t="str">
        <f aca="false">IF(L75="","",IF(L75&gt;0.05,"Win",IF(L75&lt;-0.05,"Loss","Breakeven")))</f>
        <v/>
      </c>
      <c r="N75" s="13" t="str">
        <f aca="false">IF(OR(L75="",K75=""),"",L75*K75)</f>
        <v/>
      </c>
      <c r="O75" s="9"/>
      <c r="P75" s="14"/>
      <c r="Q75" s="14"/>
    </row>
    <row r="76" customFormat="false" ht="15" hidden="false" customHeight="false" outlineLevel="0" collapsed="false">
      <c r="A76" s="7" t="str">
        <f aca="false">IF(D76="","",COUNTA($D$2:D76))</f>
        <v/>
      </c>
      <c r="B76" s="8"/>
      <c r="C76" s="9"/>
      <c r="D76" s="9"/>
      <c r="E76" s="9"/>
      <c r="F76" s="10"/>
      <c r="G76" s="10"/>
      <c r="H76" s="10"/>
      <c r="I76" s="10"/>
      <c r="J76" s="9"/>
      <c r="K76" s="11" t="str">
        <f aca="false">IF(OR(F76="",G76="",J76=""),"",J76*ABS(F76-G76))</f>
        <v/>
      </c>
      <c r="L76" s="12" t="str">
        <f aca="false">IF(OR(F76="",G76="",I76="",F76=G76),"",IF(E76="Short",(F76-I76)/(F76-G76),(I76-F76)/(F76-G76)))</f>
        <v/>
      </c>
      <c r="M76" s="7" t="str">
        <f aca="false">IF(L76="","",IF(L76&gt;0.05,"Win",IF(L76&lt;-0.05,"Loss","Breakeven")))</f>
        <v/>
      </c>
      <c r="N76" s="13" t="str">
        <f aca="false">IF(OR(L76="",K76=""),"",L76*K76)</f>
        <v/>
      </c>
      <c r="O76" s="9"/>
      <c r="P76" s="14"/>
      <c r="Q76" s="14"/>
    </row>
    <row r="77" customFormat="false" ht="15" hidden="false" customHeight="false" outlineLevel="0" collapsed="false">
      <c r="A77" s="7" t="str">
        <f aca="false">IF(D77="","",COUNTA($D$2:D77))</f>
        <v/>
      </c>
      <c r="B77" s="8"/>
      <c r="C77" s="9"/>
      <c r="D77" s="9"/>
      <c r="E77" s="9"/>
      <c r="F77" s="10"/>
      <c r="G77" s="10"/>
      <c r="H77" s="10"/>
      <c r="I77" s="10"/>
      <c r="J77" s="9"/>
      <c r="K77" s="11" t="str">
        <f aca="false">IF(OR(F77="",G77="",J77=""),"",J77*ABS(F77-G77))</f>
        <v/>
      </c>
      <c r="L77" s="12" t="str">
        <f aca="false">IF(OR(F77="",G77="",I77="",F77=G77),"",IF(E77="Short",(F77-I77)/(F77-G77),(I77-F77)/(F77-G77)))</f>
        <v/>
      </c>
      <c r="M77" s="7" t="str">
        <f aca="false">IF(L77="","",IF(L77&gt;0.05,"Win",IF(L77&lt;-0.05,"Loss","Breakeven")))</f>
        <v/>
      </c>
      <c r="N77" s="13" t="str">
        <f aca="false">IF(OR(L77="",K77=""),"",L77*K77)</f>
        <v/>
      </c>
      <c r="O77" s="9"/>
      <c r="P77" s="14"/>
      <c r="Q77" s="14"/>
    </row>
    <row r="78" customFormat="false" ht="15" hidden="false" customHeight="false" outlineLevel="0" collapsed="false">
      <c r="A78" s="7" t="str">
        <f aca="false">IF(D78="","",COUNTA($D$2:D78))</f>
        <v/>
      </c>
      <c r="B78" s="8"/>
      <c r="C78" s="9"/>
      <c r="D78" s="9"/>
      <c r="E78" s="9"/>
      <c r="F78" s="10"/>
      <c r="G78" s="10"/>
      <c r="H78" s="10"/>
      <c r="I78" s="10"/>
      <c r="J78" s="9"/>
      <c r="K78" s="11" t="str">
        <f aca="false">IF(OR(F78="",G78="",J78=""),"",J78*ABS(F78-G78))</f>
        <v/>
      </c>
      <c r="L78" s="12" t="str">
        <f aca="false">IF(OR(F78="",G78="",I78="",F78=G78),"",IF(E78="Short",(F78-I78)/(F78-G78),(I78-F78)/(F78-G78)))</f>
        <v/>
      </c>
      <c r="M78" s="7" t="str">
        <f aca="false">IF(L78="","",IF(L78&gt;0.05,"Win",IF(L78&lt;-0.05,"Loss","Breakeven")))</f>
        <v/>
      </c>
      <c r="N78" s="13" t="str">
        <f aca="false">IF(OR(L78="",K78=""),"",L78*K78)</f>
        <v/>
      </c>
      <c r="O78" s="9"/>
      <c r="P78" s="14"/>
      <c r="Q78" s="14"/>
    </row>
    <row r="79" customFormat="false" ht="15" hidden="false" customHeight="false" outlineLevel="0" collapsed="false">
      <c r="A79" s="7" t="str">
        <f aca="false">IF(D79="","",COUNTA($D$2:D79))</f>
        <v/>
      </c>
      <c r="B79" s="8"/>
      <c r="C79" s="9"/>
      <c r="D79" s="9"/>
      <c r="E79" s="9"/>
      <c r="F79" s="10"/>
      <c r="G79" s="10"/>
      <c r="H79" s="10"/>
      <c r="I79" s="10"/>
      <c r="J79" s="9"/>
      <c r="K79" s="11" t="str">
        <f aca="false">IF(OR(F79="",G79="",J79=""),"",J79*ABS(F79-G79))</f>
        <v/>
      </c>
      <c r="L79" s="12" t="str">
        <f aca="false">IF(OR(F79="",G79="",I79="",F79=G79),"",IF(E79="Short",(F79-I79)/(F79-G79),(I79-F79)/(F79-G79)))</f>
        <v/>
      </c>
      <c r="M79" s="7" t="str">
        <f aca="false">IF(L79="","",IF(L79&gt;0.05,"Win",IF(L79&lt;-0.05,"Loss","Breakeven")))</f>
        <v/>
      </c>
      <c r="N79" s="13" t="str">
        <f aca="false">IF(OR(L79="",K79=""),"",L79*K79)</f>
        <v/>
      </c>
      <c r="O79" s="9"/>
      <c r="P79" s="14"/>
      <c r="Q79" s="14"/>
    </row>
    <row r="80" customFormat="false" ht="15" hidden="false" customHeight="false" outlineLevel="0" collapsed="false">
      <c r="A80" s="7" t="str">
        <f aca="false">IF(D80="","",COUNTA($D$2:D80))</f>
        <v/>
      </c>
      <c r="B80" s="8"/>
      <c r="C80" s="9"/>
      <c r="D80" s="9"/>
      <c r="E80" s="9"/>
      <c r="F80" s="10"/>
      <c r="G80" s="10"/>
      <c r="H80" s="10"/>
      <c r="I80" s="10"/>
      <c r="J80" s="9"/>
      <c r="K80" s="11" t="str">
        <f aca="false">IF(OR(F80="",G80="",J80=""),"",J80*ABS(F80-G80))</f>
        <v/>
      </c>
      <c r="L80" s="12" t="str">
        <f aca="false">IF(OR(F80="",G80="",I80="",F80=G80),"",IF(E80="Short",(F80-I80)/(F80-G80),(I80-F80)/(F80-G80)))</f>
        <v/>
      </c>
      <c r="M80" s="7" t="str">
        <f aca="false">IF(L80="","",IF(L80&gt;0.05,"Win",IF(L80&lt;-0.05,"Loss","Breakeven")))</f>
        <v/>
      </c>
      <c r="N80" s="13" t="str">
        <f aca="false">IF(OR(L80="",K80=""),"",L80*K80)</f>
        <v/>
      </c>
      <c r="O80" s="9"/>
      <c r="P80" s="14"/>
      <c r="Q80" s="14"/>
    </row>
    <row r="81" customFormat="false" ht="15" hidden="false" customHeight="false" outlineLevel="0" collapsed="false">
      <c r="A81" s="7" t="str">
        <f aca="false">IF(D81="","",COUNTA($D$2:D81))</f>
        <v/>
      </c>
      <c r="B81" s="8"/>
      <c r="C81" s="9"/>
      <c r="D81" s="9"/>
      <c r="E81" s="9"/>
      <c r="F81" s="10"/>
      <c r="G81" s="10"/>
      <c r="H81" s="10"/>
      <c r="I81" s="10"/>
      <c r="J81" s="9"/>
      <c r="K81" s="11" t="str">
        <f aca="false">IF(OR(F81="",G81="",J81=""),"",J81*ABS(F81-G81))</f>
        <v/>
      </c>
      <c r="L81" s="12" t="str">
        <f aca="false">IF(OR(F81="",G81="",I81="",F81=G81),"",IF(E81="Short",(F81-I81)/(F81-G81),(I81-F81)/(F81-G81)))</f>
        <v/>
      </c>
      <c r="M81" s="7" t="str">
        <f aca="false">IF(L81="","",IF(L81&gt;0.05,"Win",IF(L81&lt;-0.05,"Loss","Breakeven")))</f>
        <v/>
      </c>
      <c r="N81" s="13" t="str">
        <f aca="false">IF(OR(L81="",K81=""),"",L81*K81)</f>
        <v/>
      </c>
      <c r="O81" s="9"/>
      <c r="P81" s="14"/>
      <c r="Q81" s="14"/>
    </row>
    <row r="82" customFormat="false" ht="15" hidden="false" customHeight="false" outlineLevel="0" collapsed="false">
      <c r="A82" s="7" t="str">
        <f aca="false">IF(D82="","",COUNTA($D$2:D82))</f>
        <v/>
      </c>
      <c r="B82" s="8"/>
      <c r="C82" s="9"/>
      <c r="D82" s="9"/>
      <c r="E82" s="9"/>
      <c r="F82" s="10"/>
      <c r="G82" s="10"/>
      <c r="H82" s="10"/>
      <c r="I82" s="10"/>
      <c r="J82" s="9"/>
      <c r="K82" s="11" t="str">
        <f aca="false">IF(OR(F82="",G82="",J82=""),"",J82*ABS(F82-G82))</f>
        <v/>
      </c>
      <c r="L82" s="12" t="str">
        <f aca="false">IF(OR(F82="",G82="",I82="",F82=G82),"",IF(E82="Short",(F82-I82)/(F82-G82),(I82-F82)/(F82-G82)))</f>
        <v/>
      </c>
      <c r="M82" s="7" t="str">
        <f aca="false">IF(L82="","",IF(L82&gt;0.05,"Win",IF(L82&lt;-0.05,"Loss","Breakeven")))</f>
        <v/>
      </c>
      <c r="N82" s="13" t="str">
        <f aca="false">IF(OR(L82="",K82=""),"",L82*K82)</f>
        <v/>
      </c>
      <c r="O82" s="9"/>
      <c r="P82" s="14"/>
      <c r="Q82" s="14"/>
    </row>
    <row r="83" customFormat="false" ht="15" hidden="false" customHeight="false" outlineLevel="0" collapsed="false">
      <c r="A83" s="7" t="str">
        <f aca="false">IF(D83="","",COUNTA($D$2:D83))</f>
        <v/>
      </c>
      <c r="B83" s="8"/>
      <c r="C83" s="9"/>
      <c r="D83" s="9"/>
      <c r="E83" s="9"/>
      <c r="F83" s="10"/>
      <c r="G83" s="10"/>
      <c r="H83" s="10"/>
      <c r="I83" s="10"/>
      <c r="J83" s="9"/>
      <c r="K83" s="11" t="str">
        <f aca="false">IF(OR(F83="",G83="",J83=""),"",J83*ABS(F83-G83))</f>
        <v/>
      </c>
      <c r="L83" s="12" t="str">
        <f aca="false">IF(OR(F83="",G83="",I83="",F83=G83),"",IF(E83="Short",(F83-I83)/(F83-G83),(I83-F83)/(F83-G83)))</f>
        <v/>
      </c>
      <c r="M83" s="7" t="str">
        <f aca="false">IF(L83="","",IF(L83&gt;0.05,"Win",IF(L83&lt;-0.05,"Loss","Breakeven")))</f>
        <v/>
      </c>
      <c r="N83" s="13" t="str">
        <f aca="false">IF(OR(L83="",K83=""),"",L83*K83)</f>
        <v/>
      </c>
      <c r="O83" s="9"/>
      <c r="P83" s="14"/>
      <c r="Q83" s="14"/>
    </row>
    <row r="84" customFormat="false" ht="15" hidden="false" customHeight="false" outlineLevel="0" collapsed="false">
      <c r="A84" s="7" t="str">
        <f aca="false">IF(D84="","",COUNTA($D$2:D84))</f>
        <v/>
      </c>
      <c r="B84" s="8"/>
      <c r="C84" s="9"/>
      <c r="D84" s="9"/>
      <c r="E84" s="9"/>
      <c r="F84" s="10"/>
      <c r="G84" s="10"/>
      <c r="H84" s="10"/>
      <c r="I84" s="10"/>
      <c r="J84" s="9"/>
      <c r="K84" s="11" t="str">
        <f aca="false">IF(OR(F84="",G84="",J84=""),"",J84*ABS(F84-G84))</f>
        <v/>
      </c>
      <c r="L84" s="12" t="str">
        <f aca="false">IF(OR(F84="",G84="",I84="",F84=G84),"",IF(E84="Short",(F84-I84)/(F84-G84),(I84-F84)/(F84-G84)))</f>
        <v/>
      </c>
      <c r="M84" s="7" t="str">
        <f aca="false">IF(L84="","",IF(L84&gt;0.05,"Win",IF(L84&lt;-0.05,"Loss","Breakeven")))</f>
        <v/>
      </c>
      <c r="N84" s="13" t="str">
        <f aca="false">IF(OR(L84="",K84=""),"",L84*K84)</f>
        <v/>
      </c>
      <c r="O84" s="9"/>
      <c r="P84" s="14"/>
      <c r="Q84" s="14"/>
    </row>
    <row r="85" customFormat="false" ht="15" hidden="false" customHeight="false" outlineLevel="0" collapsed="false">
      <c r="A85" s="7" t="str">
        <f aca="false">IF(D85="","",COUNTA($D$2:D85))</f>
        <v/>
      </c>
      <c r="B85" s="8"/>
      <c r="C85" s="9"/>
      <c r="D85" s="9"/>
      <c r="E85" s="9"/>
      <c r="F85" s="10"/>
      <c r="G85" s="10"/>
      <c r="H85" s="10"/>
      <c r="I85" s="10"/>
      <c r="J85" s="9"/>
      <c r="K85" s="11" t="str">
        <f aca="false">IF(OR(F85="",G85="",J85=""),"",J85*ABS(F85-G85))</f>
        <v/>
      </c>
      <c r="L85" s="12" t="str">
        <f aca="false">IF(OR(F85="",G85="",I85="",F85=G85),"",IF(E85="Short",(F85-I85)/(F85-G85),(I85-F85)/(F85-G85)))</f>
        <v/>
      </c>
      <c r="M85" s="7" t="str">
        <f aca="false">IF(L85="","",IF(L85&gt;0.05,"Win",IF(L85&lt;-0.05,"Loss","Breakeven")))</f>
        <v/>
      </c>
      <c r="N85" s="13" t="str">
        <f aca="false">IF(OR(L85="",K85=""),"",L85*K85)</f>
        <v/>
      </c>
      <c r="O85" s="9"/>
      <c r="P85" s="14"/>
      <c r="Q85" s="14"/>
    </row>
    <row r="86" customFormat="false" ht="15" hidden="false" customHeight="false" outlineLevel="0" collapsed="false">
      <c r="A86" s="7" t="str">
        <f aca="false">IF(D86="","",COUNTA($D$2:D86))</f>
        <v/>
      </c>
      <c r="B86" s="8"/>
      <c r="C86" s="9"/>
      <c r="D86" s="9"/>
      <c r="E86" s="9"/>
      <c r="F86" s="10"/>
      <c r="G86" s="10"/>
      <c r="H86" s="10"/>
      <c r="I86" s="10"/>
      <c r="J86" s="9"/>
      <c r="K86" s="11" t="str">
        <f aca="false">IF(OR(F86="",G86="",J86=""),"",J86*ABS(F86-G86))</f>
        <v/>
      </c>
      <c r="L86" s="12" t="str">
        <f aca="false">IF(OR(F86="",G86="",I86="",F86=G86),"",IF(E86="Short",(F86-I86)/(F86-G86),(I86-F86)/(F86-G86)))</f>
        <v/>
      </c>
      <c r="M86" s="7" t="str">
        <f aca="false">IF(L86="","",IF(L86&gt;0.05,"Win",IF(L86&lt;-0.05,"Loss","Breakeven")))</f>
        <v/>
      </c>
      <c r="N86" s="13" t="str">
        <f aca="false">IF(OR(L86="",K86=""),"",L86*K86)</f>
        <v/>
      </c>
      <c r="O86" s="9"/>
      <c r="P86" s="14"/>
      <c r="Q86" s="14"/>
    </row>
    <row r="87" customFormat="false" ht="15" hidden="false" customHeight="false" outlineLevel="0" collapsed="false">
      <c r="A87" s="7" t="str">
        <f aca="false">IF(D87="","",COUNTA($D$2:D87))</f>
        <v/>
      </c>
      <c r="B87" s="8"/>
      <c r="C87" s="9"/>
      <c r="D87" s="9"/>
      <c r="E87" s="9"/>
      <c r="F87" s="10"/>
      <c r="G87" s="10"/>
      <c r="H87" s="10"/>
      <c r="I87" s="10"/>
      <c r="J87" s="9"/>
      <c r="K87" s="11" t="str">
        <f aca="false">IF(OR(F87="",G87="",J87=""),"",J87*ABS(F87-G87))</f>
        <v/>
      </c>
      <c r="L87" s="12" t="str">
        <f aca="false">IF(OR(F87="",G87="",I87="",F87=G87),"",IF(E87="Short",(F87-I87)/(F87-G87),(I87-F87)/(F87-G87)))</f>
        <v/>
      </c>
      <c r="M87" s="7" t="str">
        <f aca="false">IF(L87="","",IF(L87&gt;0.05,"Win",IF(L87&lt;-0.05,"Loss","Breakeven")))</f>
        <v/>
      </c>
      <c r="N87" s="13" t="str">
        <f aca="false">IF(OR(L87="",K87=""),"",L87*K87)</f>
        <v/>
      </c>
      <c r="O87" s="9"/>
      <c r="P87" s="14"/>
      <c r="Q87" s="14"/>
    </row>
    <row r="88" customFormat="false" ht="15" hidden="false" customHeight="false" outlineLevel="0" collapsed="false">
      <c r="A88" s="7" t="str">
        <f aca="false">IF(D88="","",COUNTA($D$2:D88))</f>
        <v/>
      </c>
      <c r="B88" s="8"/>
      <c r="C88" s="9"/>
      <c r="D88" s="9"/>
      <c r="E88" s="9"/>
      <c r="F88" s="10"/>
      <c r="G88" s="10"/>
      <c r="H88" s="10"/>
      <c r="I88" s="10"/>
      <c r="J88" s="9"/>
      <c r="K88" s="11" t="str">
        <f aca="false">IF(OR(F88="",G88="",J88=""),"",J88*ABS(F88-G88))</f>
        <v/>
      </c>
      <c r="L88" s="12" t="str">
        <f aca="false">IF(OR(F88="",G88="",I88="",F88=G88),"",IF(E88="Short",(F88-I88)/(F88-G88),(I88-F88)/(F88-G88)))</f>
        <v/>
      </c>
      <c r="M88" s="7" t="str">
        <f aca="false">IF(L88="","",IF(L88&gt;0.05,"Win",IF(L88&lt;-0.05,"Loss","Breakeven")))</f>
        <v/>
      </c>
      <c r="N88" s="13" t="str">
        <f aca="false">IF(OR(L88="",K88=""),"",L88*K88)</f>
        <v/>
      </c>
      <c r="O88" s="9"/>
      <c r="P88" s="14"/>
      <c r="Q88" s="14"/>
    </row>
    <row r="89" customFormat="false" ht="15" hidden="false" customHeight="false" outlineLevel="0" collapsed="false">
      <c r="A89" s="7" t="str">
        <f aca="false">IF(D89="","",COUNTA($D$2:D89))</f>
        <v/>
      </c>
      <c r="B89" s="8"/>
      <c r="C89" s="9"/>
      <c r="D89" s="9"/>
      <c r="E89" s="9"/>
      <c r="F89" s="10"/>
      <c r="G89" s="10"/>
      <c r="H89" s="10"/>
      <c r="I89" s="10"/>
      <c r="J89" s="9"/>
      <c r="K89" s="11" t="str">
        <f aca="false">IF(OR(F89="",G89="",J89=""),"",J89*ABS(F89-G89))</f>
        <v/>
      </c>
      <c r="L89" s="12" t="str">
        <f aca="false">IF(OR(F89="",G89="",I89="",F89=G89),"",IF(E89="Short",(F89-I89)/(F89-G89),(I89-F89)/(F89-G89)))</f>
        <v/>
      </c>
      <c r="M89" s="7" t="str">
        <f aca="false">IF(L89="","",IF(L89&gt;0.05,"Win",IF(L89&lt;-0.05,"Loss","Breakeven")))</f>
        <v/>
      </c>
      <c r="N89" s="13" t="str">
        <f aca="false">IF(OR(L89="",K89=""),"",L89*K89)</f>
        <v/>
      </c>
      <c r="O89" s="9"/>
      <c r="P89" s="14"/>
      <c r="Q89" s="14"/>
    </row>
    <row r="90" customFormat="false" ht="15" hidden="false" customHeight="false" outlineLevel="0" collapsed="false">
      <c r="A90" s="7" t="str">
        <f aca="false">IF(D90="","",COUNTA($D$2:D90))</f>
        <v/>
      </c>
      <c r="B90" s="8"/>
      <c r="C90" s="9"/>
      <c r="D90" s="9"/>
      <c r="E90" s="9"/>
      <c r="F90" s="10"/>
      <c r="G90" s="10"/>
      <c r="H90" s="10"/>
      <c r="I90" s="10"/>
      <c r="J90" s="9"/>
      <c r="K90" s="11" t="str">
        <f aca="false">IF(OR(F90="",G90="",J90=""),"",J90*ABS(F90-G90))</f>
        <v/>
      </c>
      <c r="L90" s="12" t="str">
        <f aca="false">IF(OR(F90="",G90="",I90="",F90=G90),"",IF(E90="Short",(F90-I90)/(F90-G90),(I90-F90)/(F90-G90)))</f>
        <v/>
      </c>
      <c r="M90" s="7" t="str">
        <f aca="false">IF(L90="","",IF(L90&gt;0.05,"Win",IF(L90&lt;-0.05,"Loss","Breakeven")))</f>
        <v/>
      </c>
      <c r="N90" s="13" t="str">
        <f aca="false">IF(OR(L90="",K90=""),"",L90*K90)</f>
        <v/>
      </c>
      <c r="O90" s="9"/>
      <c r="P90" s="14"/>
      <c r="Q90" s="14"/>
    </row>
    <row r="91" customFormat="false" ht="15" hidden="false" customHeight="false" outlineLevel="0" collapsed="false">
      <c r="A91" s="7" t="str">
        <f aca="false">IF(D91="","",COUNTA($D$2:D91))</f>
        <v/>
      </c>
      <c r="B91" s="8"/>
      <c r="C91" s="9"/>
      <c r="D91" s="9"/>
      <c r="E91" s="9"/>
      <c r="F91" s="10"/>
      <c r="G91" s="10"/>
      <c r="H91" s="10"/>
      <c r="I91" s="10"/>
      <c r="J91" s="9"/>
      <c r="K91" s="11" t="str">
        <f aca="false">IF(OR(F91="",G91="",J91=""),"",J91*ABS(F91-G91))</f>
        <v/>
      </c>
      <c r="L91" s="12" t="str">
        <f aca="false">IF(OR(F91="",G91="",I91="",F91=G91),"",IF(E91="Short",(F91-I91)/(F91-G91),(I91-F91)/(F91-G91)))</f>
        <v/>
      </c>
      <c r="M91" s="7" t="str">
        <f aca="false">IF(L91="","",IF(L91&gt;0.05,"Win",IF(L91&lt;-0.05,"Loss","Breakeven")))</f>
        <v/>
      </c>
      <c r="N91" s="13" t="str">
        <f aca="false">IF(OR(L91="",K91=""),"",L91*K91)</f>
        <v/>
      </c>
      <c r="O91" s="9"/>
      <c r="P91" s="14"/>
      <c r="Q91" s="14"/>
    </row>
    <row r="92" customFormat="false" ht="15" hidden="false" customHeight="false" outlineLevel="0" collapsed="false">
      <c r="A92" s="7" t="str">
        <f aca="false">IF(D92="","",COUNTA($D$2:D92))</f>
        <v/>
      </c>
      <c r="B92" s="8"/>
      <c r="C92" s="9"/>
      <c r="D92" s="9"/>
      <c r="E92" s="9"/>
      <c r="F92" s="10"/>
      <c r="G92" s="10"/>
      <c r="H92" s="10"/>
      <c r="I92" s="10"/>
      <c r="J92" s="9"/>
      <c r="K92" s="11" t="str">
        <f aca="false">IF(OR(F92="",G92="",J92=""),"",J92*ABS(F92-G92))</f>
        <v/>
      </c>
      <c r="L92" s="12" t="str">
        <f aca="false">IF(OR(F92="",G92="",I92="",F92=G92),"",IF(E92="Short",(F92-I92)/(F92-G92),(I92-F92)/(F92-G92)))</f>
        <v/>
      </c>
      <c r="M92" s="7" t="str">
        <f aca="false">IF(L92="","",IF(L92&gt;0.05,"Win",IF(L92&lt;-0.05,"Loss","Breakeven")))</f>
        <v/>
      </c>
      <c r="N92" s="13" t="str">
        <f aca="false">IF(OR(L92="",K92=""),"",L92*K92)</f>
        <v/>
      </c>
      <c r="O92" s="9"/>
      <c r="P92" s="14"/>
      <c r="Q92" s="14"/>
    </row>
    <row r="93" customFormat="false" ht="15" hidden="false" customHeight="false" outlineLevel="0" collapsed="false">
      <c r="A93" s="7" t="str">
        <f aca="false">IF(D93="","",COUNTA($D$2:D93))</f>
        <v/>
      </c>
      <c r="B93" s="8"/>
      <c r="C93" s="9"/>
      <c r="D93" s="9"/>
      <c r="E93" s="9"/>
      <c r="F93" s="10"/>
      <c r="G93" s="10"/>
      <c r="H93" s="10"/>
      <c r="I93" s="10"/>
      <c r="J93" s="9"/>
      <c r="K93" s="11" t="str">
        <f aca="false">IF(OR(F93="",G93="",J93=""),"",J93*ABS(F93-G93))</f>
        <v/>
      </c>
      <c r="L93" s="12" t="str">
        <f aca="false">IF(OR(F93="",G93="",I93="",F93=G93),"",IF(E93="Short",(F93-I93)/(F93-G93),(I93-F93)/(F93-G93)))</f>
        <v/>
      </c>
      <c r="M93" s="7" t="str">
        <f aca="false">IF(L93="","",IF(L93&gt;0.05,"Win",IF(L93&lt;-0.05,"Loss","Breakeven")))</f>
        <v/>
      </c>
      <c r="N93" s="13" t="str">
        <f aca="false">IF(OR(L93="",K93=""),"",L93*K93)</f>
        <v/>
      </c>
      <c r="O93" s="9"/>
      <c r="P93" s="14"/>
      <c r="Q93" s="14"/>
    </row>
    <row r="94" customFormat="false" ht="15" hidden="false" customHeight="false" outlineLevel="0" collapsed="false">
      <c r="A94" s="7" t="str">
        <f aca="false">IF(D94="","",COUNTA($D$2:D94))</f>
        <v/>
      </c>
      <c r="B94" s="8"/>
      <c r="C94" s="9"/>
      <c r="D94" s="9"/>
      <c r="E94" s="9"/>
      <c r="F94" s="10"/>
      <c r="G94" s="10"/>
      <c r="H94" s="10"/>
      <c r="I94" s="10"/>
      <c r="J94" s="9"/>
      <c r="K94" s="11" t="str">
        <f aca="false">IF(OR(F94="",G94="",J94=""),"",J94*ABS(F94-G94))</f>
        <v/>
      </c>
      <c r="L94" s="12" t="str">
        <f aca="false">IF(OR(F94="",G94="",I94="",F94=G94),"",IF(E94="Short",(F94-I94)/(F94-G94),(I94-F94)/(F94-G94)))</f>
        <v/>
      </c>
      <c r="M94" s="7" t="str">
        <f aca="false">IF(L94="","",IF(L94&gt;0.05,"Win",IF(L94&lt;-0.05,"Loss","Breakeven")))</f>
        <v/>
      </c>
      <c r="N94" s="13" t="str">
        <f aca="false">IF(OR(L94="",K94=""),"",L94*K94)</f>
        <v/>
      </c>
      <c r="O94" s="9"/>
      <c r="P94" s="14"/>
      <c r="Q94" s="14"/>
    </row>
    <row r="95" customFormat="false" ht="15" hidden="false" customHeight="false" outlineLevel="0" collapsed="false">
      <c r="A95" s="7" t="str">
        <f aca="false">IF(D95="","",COUNTA($D$2:D95))</f>
        <v/>
      </c>
      <c r="B95" s="8"/>
      <c r="C95" s="9"/>
      <c r="D95" s="9"/>
      <c r="E95" s="9"/>
      <c r="F95" s="10"/>
      <c r="G95" s="10"/>
      <c r="H95" s="10"/>
      <c r="I95" s="10"/>
      <c r="J95" s="9"/>
      <c r="K95" s="11" t="str">
        <f aca="false">IF(OR(F95="",G95="",J95=""),"",J95*ABS(F95-G95))</f>
        <v/>
      </c>
      <c r="L95" s="12" t="str">
        <f aca="false">IF(OR(F95="",G95="",I95="",F95=G95),"",IF(E95="Short",(F95-I95)/(F95-G95),(I95-F95)/(F95-G95)))</f>
        <v/>
      </c>
      <c r="M95" s="7" t="str">
        <f aca="false">IF(L95="","",IF(L95&gt;0.05,"Win",IF(L95&lt;-0.05,"Loss","Breakeven")))</f>
        <v/>
      </c>
      <c r="N95" s="13" t="str">
        <f aca="false">IF(OR(L95="",K95=""),"",L95*K95)</f>
        <v/>
      </c>
      <c r="O95" s="9"/>
      <c r="P95" s="14"/>
      <c r="Q95" s="14"/>
    </row>
    <row r="96" customFormat="false" ht="15" hidden="false" customHeight="false" outlineLevel="0" collapsed="false">
      <c r="A96" s="7" t="str">
        <f aca="false">IF(D96="","",COUNTA($D$2:D96))</f>
        <v/>
      </c>
      <c r="B96" s="8"/>
      <c r="C96" s="9"/>
      <c r="D96" s="9"/>
      <c r="E96" s="9"/>
      <c r="F96" s="10"/>
      <c r="G96" s="10"/>
      <c r="H96" s="10"/>
      <c r="I96" s="10"/>
      <c r="J96" s="9"/>
      <c r="K96" s="11" t="str">
        <f aca="false">IF(OR(F96="",G96="",J96=""),"",J96*ABS(F96-G96))</f>
        <v/>
      </c>
      <c r="L96" s="12" t="str">
        <f aca="false">IF(OR(F96="",G96="",I96="",F96=G96),"",IF(E96="Short",(F96-I96)/(F96-G96),(I96-F96)/(F96-G96)))</f>
        <v/>
      </c>
      <c r="M96" s="7" t="str">
        <f aca="false">IF(L96="","",IF(L96&gt;0.05,"Win",IF(L96&lt;-0.05,"Loss","Breakeven")))</f>
        <v/>
      </c>
      <c r="N96" s="13" t="str">
        <f aca="false">IF(OR(L96="",K96=""),"",L96*K96)</f>
        <v/>
      </c>
      <c r="O96" s="9"/>
      <c r="P96" s="14"/>
      <c r="Q96" s="14"/>
    </row>
    <row r="97" customFormat="false" ht="15" hidden="false" customHeight="false" outlineLevel="0" collapsed="false">
      <c r="A97" s="7" t="str">
        <f aca="false">IF(D97="","",COUNTA($D$2:D97))</f>
        <v/>
      </c>
      <c r="B97" s="8"/>
      <c r="C97" s="9"/>
      <c r="D97" s="9"/>
      <c r="E97" s="9"/>
      <c r="F97" s="10"/>
      <c r="G97" s="10"/>
      <c r="H97" s="10"/>
      <c r="I97" s="10"/>
      <c r="J97" s="9"/>
      <c r="K97" s="11" t="str">
        <f aca="false">IF(OR(F97="",G97="",J97=""),"",J97*ABS(F97-G97))</f>
        <v/>
      </c>
      <c r="L97" s="12" t="str">
        <f aca="false">IF(OR(F97="",G97="",I97="",F97=G97),"",IF(E97="Short",(F97-I97)/(F97-G97),(I97-F97)/(F97-G97)))</f>
        <v/>
      </c>
      <c r="M97" s="7" t="str">
        <f aca="false">IF(L97="","",IF(L97&gt;0.05,"Win",IF(L97&lt;-0.05,"Loss","Breakeven")))</f>
        <v/>
      </c>
      <c r="N97" s="13" t="str">
        <f aca="false">IF(OR(L97="",K97=""),"",L97*K97)</f>
        <v/>
      </c>
      <c r="O97" s="9"/>
      <c r="P97" s="14"/>
      <c r="Q97" s="14"/>
    </row>
    <row r="98" customFormat="false" ht="15" hidden="false" customHeight="false" outlineLevel="0" collapsed="false">
      <c r="A98" s="7" t="str">
        <f aca="false">IF(D98="","",COUNTA($D$2:D98))</f>
        <v/>
      </c>
      <c r="B98" s="8"/>
      <c r="C98" s="9"/>
      <c r="D98" s="9"/>
      <c r="E98" s="9"/>
      <c r="F98" s="10"/>
      <c r="G98" s="10"/>
      <c r="H98" s="10"/>
      <c r="I98" s="10"/>
      <c r="J98" s="9"/>
      <c r="K98" s="11" t="str">
        <f aca="false">IF(OR(F98="",G98="",J98=""),"",J98*ABS(F98-G98))</f>
        <v/>
      </c>
      <c r="L98" s="12" t="str">
        <f aca="false">IF(OR(F98="",G98="",I98="",F98=G98),"",IF(E98="Short",(F98-I98)/(F98-G98),(I98-F98)/(F98-G98)))</f>
        <v/>
      </c>
      <c r="M98" s="7" t="str">
        <f aca="false">IF(L98="","",IF(L98&gt;0.05,"Win",IF(L98&lt;-0.05,"Loss","Breakeven")))</f>
        <v/>
      </c>
      <c r="N98" s="13" t="str">
        <f aca="false">IF(OR(L98="",K98=""),"",L98*K98)</f>
        <v/>
      </c>
      <c r="O98" s="9"/>
      <c r="P98" s="14"/>
      <c r="Q98" s="14"/>
    </row>
    <row r="99" customFormat="false" ht="15" hidden="false" customHeight="false" outlineLevel="0" collapsed="false">
      <c r="A99" s="7" t="str">
        <f aca="false">IF(D99="","",COUNTA($D$2:D99))</f>
        <v/>
      </c>
      <c r="B99" s="8"/>
      <c r="C99" s="9"/>
      <c r="D99" s="9"/>
      <c r="E99" s="9"/>
      <c r="F99" s="10"/>
      <c r="G99" s="10"/>
      <c r="H99" s="10"/>
      <c r="I99" s="10"/>
      <c r="J99" s="9"/>
      <c r="K99" s="11" t="str">
        <f aca="false">IF(OR(F99="",G99="",J99=""),"",J99*ABS(F99-G99))</f>
        <v/>
      </c>
      <c r="L99" s="12" t="str">
        <f aca="false">IF(OR(F99="",G99="",I99="",F99=G99),"",IF(E99="Short",(F99-I99)/(F99-G99),(I99-F99)/(F99-G99)))</f>
        <v/>
      </c>
      <c r="M99" s="7" t="str">
        <f aca="false">IF(L99="","",IF(L99&gt;0.05,"Win",IF(L99&lt;-0.05,"Loss","Breakeven")))</f>
        <v/>
      </c>
      <c r="N99" s="13" t="str">
        <f aca="false">IF(OR(L99="",K99=""),"",L99*K99)</f>
        <v/>
      </c>
      <c r="O99" s="9"/>
      <c r="P99" s="14"/>
      <c r="Q99" s="14"/>
    </row>
    <row r="100" customFormat="false" ht="15" hidden="false" customHeight="false" outlineLevel="0" collapsed="false">
      <c r="A100" s="7" t="str">
        <f aca="false">IF(D100="","",COUNTA($D$2:D100))</f>
        <v/>
      </c>
      <c r="B100" s="8"/>
      <c r="C100" s="9"/>
      <c r="D100" s="9"/>
      <c r="E100" s="9"/>
      <c r="F100" s="10"/>
      <c r="G100" s="10"/>
      <c r="H100" s="10"/>
      <c r="I100" s="10"/>
      <c r="J100" s="9"/>
      <c r="K100" s="11" t="str">
        <f aca="false">IF(OR(F100="",G100="",J100=""),"",J100*ABS(F100-G100))</f>
        <v/>
      </c>
      <c r="L100" s="12" t="str">
        <f aca="false">IF(OR(F100="",G100="",I100="",F100=G100),"",IF(E100="Short",(F100-I100)/(F100-G100),(I100-F100)/(F100-G100)))</f>
        <v/>
      </c>
      <c r="M100" s="7" t="str">
        <f aca="false">IF(L100="","",IF(L100&gt;0.05,"Win",IF(L100&lt;-0.05,"Loss","Breakeven")))</f>
        <v/>
      </c>
      <c r="N100" s="13" t="str">
        <f aca="false">IF(OR(L100="",K100=""),"",L100*K100)</f>
        <v/>
      </c>
      <c r="O100" s="9"/>
      <c r="P100" s="14"/>
      <c r="Q100" s="14"/>
    </row>
    <row r="101" customFormat="false" ht="15" hidden="false" customHeight="false" outlineLevel="0" collapsed="false">
      <c r="A101" s="7" t="str">
        <f aca="false">IF(D101="","",COUNTA($D$2:D101))</f>
        <v/>
      </c>
      <c r="B101" s="8"/>
      <c r="C101" s="9"/>
      <c r="D101" s="9"/>
      <c r="E101" s="9"/>
      <c r="F101" s="10"/>
      <c r="G101" s="10"/>
      <c r="H101" s="10"/>
      <c r="I101" s="10"/>
      <c r="J101" s="9"/>
      <c r="K101" s="11" t="str">
        <f aca="false">IF(OR(F101="",G101="",J101=""),"",J101*ABS(F101-G101))</f>
        <v/>
      </c>
      <c r="L101" s="12" t="str">
        <f aca="false">IF(OR(F101="",G101="",I101="",F101=G101),"",IF(E101="Short",(F101-I101)/(F101-G101),(I101-F101)/(F101-G101)))</f>
        <v/>
      </c>
      <c r="M101" s="7" t="str">
        <f aca="false">IF(L101="","",IF(L101&gt;0.05,"Win",IF(L101&lt;-0.05,"Loss","Breakeven")))</f>
        <v/>
      </c>
      <c r="N101" s="13" t="str">
        <f aca="false">IF(OR(L101="",K101=""),"",L101*K101)</f>
        <v/>
      </c>
      <c r="O101" s="9"/>
      <c r="P101" s="14"/>
      <c r="Q101" s="14"/>
    </row>
    <row r="102" customFormat="false" ht="15" hidden="false" customHeight="false" outlineLevel="0" collapsed="false">
      <c r="A102" s="7" t="str">
        <f aca="false">IF(D102="","",COUNTA($D$2:D102))</f>
        <v/>
      </c>
      <c r="B102" s="8"/>
      <c r="C102" s="9"/>
      <c r="D102" s="9"/>
      <c r="E102" s="9"/>
      <c r="F102" s="10"/>
      <c r="G102" s="10"/>
      <c r="H102" s="10"/>
      <c r="I102" s="10"/>
      <c r="J102" s="9"/>
      <c r="K102" s="11" t="str">
        <f aca="false">IF(OR(F102="",G102="",J102=""),"",J102*ABS(F102-G102))</f>
        <v/>
      </c>
      <c r="L102" s="12" t="str">
        <f aca="false">IF(OR(F102="",G102="",I102="",F102=G102),"",IF(E102="Short",(F102-I102)/(F102-G102),(I102-F102)/(F102-G102)))</f>
        <v/>
      </c>
      <c r="M102" s="7" t="str">
        <f aca="false">IF(L102="","",IF(L102&gt;0.05,"Win",IF(L102&lt;-0.05,"Loss","Breakeven")))</f>
        <v/>
      </c>
      <c r="N102" s="13" t="str">
        <f aca="false">IF(OR(L102="",K102=""),"",L102*K102)</f>
        <v/>
      </c>
      <c r="O102" s="9"/>
      <c r="P102" s="14"/>
      <c r="Q102" s="14"/>
    </row>
    <row r="103" customFormat="false" ht="15" hidden="false" customHeight="false" outlineLevel="0" collapsed="false">
      <c r="A103" s="7" t="str">
        <f aca="false">IF(D103="","",COUNTA($D$2:D103))</f>
        <v/>
      </c>
      <c r="B103" s="8"/>
      <c r="C103" s="9"/>
      <c r="D103" s="9"/>
      <c r="E103" s="9"/>
      <c r="F103" s="10"/>
      <c r="G103" s="10"/>
      <c r="H103" s="10"/>
      <c r="I103" s="10"/>
      <c r="J103" s="9"/>
      <c r="K103" s="11" t="str">
        <f aca="false">IF(OR(F103="",G103="",J103=""),"",J103*ABS(F103-G103))</f>
        <v/>
      </c>
      <c r="L103" s="12" t="str">
        <f aca="false">IF(OR(F103="",G103="",I103="",F103=G103),"",IF(E103="Short",(F103-I103)/(F103-G103),(I103-F103)/(F103-G103)))</f>
        <v/>
      </c>
      <c r="M103" s="7" t="str">
        <f aca="false">IF(L103="","",IF(L103&gt;0.05,"Win",IF(L103&lt;-0.05,"Loss","Breakeven")))</f>
        <v/>
      </c>
      <c r="N103" s="13" t="str">
        <f aca="false">IF(OR(L103="",K103=""),"",L103*K103)</f>
        <v/>
      </c>
      <c r="O103" s="9"/>
      <c r="P103" s="14"/>
      <c r="Q103" s="14"/>
    </row>
    <row r="104" customFormat="false" ht="15" hidden="false" customHeight="false" outlineLevel="0" collapsed="false">
      <c r="A104" s="7" t="str">
        <f aca="false">IF(D104="","",COUNTA($D$2:D104))</f>
        <v/>
      </c>
      <c r="B104" s="8"/>
      <c r="C104" s="9"/>
      <c r="D104" s="9"/>
      <c r="E104" s="9"/>
      <c r="F104" s="10"/>
      <c r="G104" s="10"/>
      <c r="H104" s="10"/>
      <c r="I104" s="10"/>
      <c r="J104" s="9"/>
      <c r="K104" s="11" t="str">
        <f aca="false">IF(OR(F104="",G104="",J104=""),"",J104*ABS(F104-G104))</f>
        <v/>
      </c>
      <c r="L104" s="12" t="str">
        <f aca="false">IF(OR(F104="",G104="",I104="",F104=G104),"",IF(E104="Short",(F104-I104)/(F104-G104),(I104-F104)/(F104-G104)))</f>
        <v/>
      </c>
      <c r="M104" s="7" t="str">
        <f aca="false">IF(L104="","",IF(L104&gt;0.05,"Win",IF(L104&lt;-0.05,"Loss","Breakeven")))</f>
        <v/>
      </c>
      <c r="N104" s="13" t="str">
        <f aca="false">IF(OR(L104="",K104=""),"",L104*K104)</f>
        <v/>
      </c>
      <c r="O104" s="9"/>
      <c r="P104" s="14"/>
      <c r="Q104" s="14"/>
    </row>
    <row r="105" customFormat="false" ht="15" hidden="false" customHeight="false" outlineLevel="0" collapsed="false">
      <c r="A105" s="7" t="str">
        <f aca="false">IF(D105="","",COUNTA($D$2:D105))</f>
        <v/>
      </c>
      <c r="B105" s="8"/>
      <c r="C105" s="9"/>
      <c r="D105" s="9"/>
      <c r="E105" s="9"/>
      <c r="F105" s="10"/>
      <c r="G105" s="10"/>
      <c r="H105" s="10"/>
      <c r="I105" s="10"/>
      <c r="J105" s="9"/>
      <c r="K105" s="11" t="str">
        <f aca="false">IF(OR(F105="",G105="",J105=""),"",J105*ABS(F105-G105))</f>
        <v/>
      </c>
      <c r="L105" s="12" t="str">
        <f aca="false">IF(OR(F105="",G105="",I105="",F105=G105),"",IF(E105="Short",(F105-I105)/(F105-G105),(I105-F105)/(F105-G105)))</f>
        <v/>
      </c>
      <c r="M105" s="7" t="str">
        <f aca="false">IF(L105="","",IF(L105&gt;0.05,"Win",IF(L105&lt;-0.05,"Loss","Breakeven")))</f>
        <v/>
      </c>
      <c r="N105" s="13" t="str">
        <f aca="false">IF(OR(L105="",K105=""),"",L105*K105)</f>
        <v/>
      </c>
      <c r="O105" s="9"/>
      <c r="P105" s="14"/>
      <c r="Q105" s="14"/>
    </row>
    <row r="106" customFormat="false" ht="15" hidden="false" customHeight="false" outlineLevel="0" collapsed="false">
      <c r="A106" s="7" t="str">
        <f aca="false">IF(D106="","",COUNTA($D$2:D106))</f>
        <v/>
      </c>
      <c r="B106" s="8"/>
      <c r="C106" s="9"/>
      <c r="D106" s="9"/>
      <c r="E106" s="9"/>
      <c r="F106" s="10"/>
      <c r="G106" s="10"/>
      <c r="H106" s="10"/>
      <c r="I106" s="10"/>
      <c r="J106" s="9"/>
      <c r="K106" s="11" t="str">
        <f aca="false">IF(OR(F106="",G106="",J106=""),"",J106*ABS(F106-G106))</f>
        <v/>
      </c>
      <c r="L106" s="12" t="str">
        <f aca="false">IF(OR(F106="",G106="",I106="",F106=G106),"",IF(E106="Short",(F106-I106)/(F106-G106),(I106-F106)/(F106-G106)))</f>
        <v/>
      </c>
      <c r="M106" s="7" t="str">
        <f aca="false">IF(L106="","",IF(L106&gt;0.05,"Win",IF(L106&lt;-0.05,"Loss","Breakeven")))</f>
        <v/>
      </c>
      <c r="N106" s="13" t="str">
        <f aca="false">IF(OR(L106="",K106=""),"",L106*K106)</f>
        <v/>
      </c>
      <c r="O106" s="9"/>
      <c r="P106" s="14"/>
      <c r="Q106" s="14"/>
    </row>
    <row r="107" customFormat="false" ht="15" hidden="false" customHeight="false" outlineLevel="0" collapsed="false">
      <c r="A107" s="7" t="str">
        <f aca="false">IF(D107="","",COUNTA($D$2:D107))</f>
        <v/>
      </c>
      <c r="B107" s="8"/>
      <c r="C107" s="9"/>
      <c r="D107" s="9"/>
      <c r="E107" s="9"/>
      <c r="F107" s="10"/>
      <c r="G107" s="10"/>
      <c r="H107" s="10"/>
      <c r="I107" s="10"/>
      <c r="J107" s="9"/>
      <c r="K107" s="11" t="str">
        <f aca="false">IF(OR(F107="",G107="",J107=""),"",J107*ABS(F107-G107))</f>
        <v/>
      </c>
      <c r="L107" s="12" t="str">
        <f aca="false">IF(OR(F107="",G107="",I107="",F107=G107),"",IF(E107="Short",(F107-I107)/(F107-G107),(I107-F107)/(F107-G107)))</f>
        <v/>
      </c>
      <c r="M107" s="7" t="str">
        <f aca="false">IF(L107="","",IF(L107&gt;0.05,"Win",IF(L107&lt;-0.05,"Loss","Breakeven")))</f>
        <v/>
      </c>
      <c r="N107" s="13" t="str">
        <f aca="false">IF(OR(L107="",K107=""),"",L107*K107)</f>
        <v/>
      </c>
      <c r="O107" s="9"/>
      <c r="P107" s="14"/>
      <c r="Q107" s="14"/>
    </row>
    <row r="108" customFormat="false" ht="15" hidden="false" customHeight="false" outlineLevel="0" collapsed="false">
      <c r="A108" s="7" t="str">
        <f aca="false">IF(D108="","",COUNTA($D$2:D108))</f>
        <v/>
      </c>
      <c r="B108" s="8"/>
      <c r="C108" s="9"/>
      <c r="D108" s="9"/>
      <c r="E108" s="9"/>
      <c r="F108" s="10"/>
      <c r="G108" s="10"/>
      <c r="H108" s="10"/>
      <c r="I108" s="10"/>
      <c r="J108" s="9"/>
      <c r="K108" s="11" t="str">
        <f aca="false">IF(OR(F108="",G108="",J108=""),"",J108*ABS(F108-G108))</f>
        <v/>
      </c>
      <c r="L108" s="12" t="str">
        <f aca="false">IF(OR(F108="",G108="",I108="",F108=G108),"",IF(E108="Short",(F108-I108)/(F108-G108),(I108-F108)/(F108-G108)))</f>
        <v/>
      </c>
      <c r="M108" s="7" t="str">
        <f aca="false">IF(L108="","",IF(L108&gt;0.05,"Win",IF(L108&lt;-0.05,"Loss","Breakeven")))</f>
        <v/>
      </c>
      <c r="N108" s="13" t="str">
        <f aca="false">IF(OR(L108="",K108=""),"",L108*K108)</f>
        <v/>
      </c>
      <c r="O108" s="9"/>
      <c r="P108" s="14"/>
      <c r="Q108" s="14"/>
    </row>
    <row r="109" customFormat="false" ht="15" hidden="false" customHeight="false" outlineLevel="0" collapsed="false">
      <c r="A109" s="7" t="str">
        <f aca="false">IF(D109="","",COUNTA($D$2:D109))</f>
        <v/>
      </c>
      <c r="B109" s="8"/>
      <c r="C109" s="9"/>
      <c r="D109" s="9"/>
      <c r="E109" s="9"/>
      <c r="F109" s="10"/>
      <c r="G109" s="10"/>
      <c r="H109" s="10"/>
      <c r="I109" s="10"/>
      <c r="J109" s="9"/>
      <c r="K109" s="11" t="str">
        <f aca="false">IF(OR(F109="",G109="",J109=""),"",J109*ABS(F109-G109))</f>
        <v/>
      </c>
      <c r="L109" s="12" t="str">
        <f aca="false">IF(OR(F109="",G109="",I109="",F109=G109),"",IF(E109="Short",(F109-I109)/(F109-G109),(I109-F109)/(F109-G109)))</f>
        <v/>
      </c>
      <c r="M109" s="7" t="str">
        <f aca="false">IF(L109="","",IF(L109&gt;0.05,"Win",IF(L109&lt;-0.05,"Loss","Breakeven")))</f>
        <v/>
      </c>
      <c r="N109" s="13" t="str">
        <f aca="false">IF(OR(L109="",K109=""),"",L109*K109)</f>
        <v/>
      </c>
      <c r="O109" s="9"/>
      <c r="P109" s="14"/>
      <c r="Q109" s="14"/>
    </row>
    <row r="110" customFormat="false" ht="15" hidden="false" customHeight="false" outlineLevel="0" collapsed="false">
      <c r="A110" s="7" t="str">
        <f aca="false">IF(D110="","",COUNTA($D$2:D110))</f>
        <v/>
      </c>
      <c r="B110" s="8"/>
      <c r="C110" s="9"/>
      <c r="D110" s="9"/>
      <c r="E110" s="9"/>
      <c r="F110" s="10"/>
      <c r="G110" s="10"/>
      <c r="H110" s="10"/>
      <c r="I110" s="10"/>
      <c r="J110" s="9"/>
      <c r="K110" s="11" t="str">
        <f aca="false">IF(OR(F110="",G110="",J110=""),"",J110*ABS(F110-G110))</f>
        <v/>
      </c>
      <c r="L110" s="12" t="str">
        <f aca="false">IF(OR(F110="",G110="",I110="",F110=G110),"",IF(E110="Short",(F110-I110)/(F110-G110),(I110-F110)/(F110-G110)))</f>
        <v/>
      </c>
      <c r="M110" s="7" t="str">
        <f aca="false">IF(L110="","",IF(L110&gt;0.05,"Win",IF(L110&lt;-0.05,"Loss","Breakeven")))</f>
        <v/>
      </c>
      <c r="N110" s="13" t="str">
        <f aca="false">IF(OR(L110="",K110=""),"",L110*K110)</f>
        <v/>
      </c>
      <c r="O110" s="9"/>
      <c r="P110" s="14"/>
      <c r="Q110" s="14"/>
    </row>
    <row r="111" customFormat="false" ht="15" hidden="false" customHeight="false" outlineLevel="0" collapsed="false">
      <c r="A111" s="7" t="str">
        <f aca="false">IF(D111="","",COUNTA($D$2:D111))</f>
        <v/>
      </c>
      <c r="B111" s="8"/>
      <c r="C111" s="9"/>
      <c r="D111" s="9"/>
      <c r="E111" s="9"/>
      <c r="F111" s="10"/>
      <c r="G111" s="10"/>
      <c r="H111" s="10"/>
      <c r="I111" s="10"/>
      <c r="J111" s="9"/>
      <c r="K111" s="11" t="str">
        <f aca="false">IF(OR(F111="",G111="",J111=""),"",J111*ABS(F111-G111))</f>
        <v/>
      </c>
      <c r="L111" s="12" t="str">
        <f aca="false">IF(OR(F111="",G111="",I111="",F111=G111),"",IF(E111="Short",(F111-I111)/(F111-G111),(I111-F111)/(F111-G111)))</f>
        <v/>
      </c>
      <c r="M111" s="7" t="str">
        <f aca="false">IF(L111="","",IF(L111&gt;0.05,"Win",IF(L111&lt;-0.05,"Loss","Breakeven")))</f>
        <v/>
      </c>
      <c r="N111" s="13" t="str">
        <f aca="false">IF(OR(L111="",K111=""),"",L111*K111)</f>
        <v/>
      </c>
      <c r="O111" s="9"/>
      <c r="P111" s="14"/>
      <c r="Q111" s="14"/>
    </row>
    <row r="112" customFormat="false" ht="15" hidden="false" customHeight="false" outlineLevel="0" collapsed="false">
      <c r="A112" s="7" t="str">
        <f aca="false">IF(D112="","",COUNTA($D$2:D112))</f>
        <v/>
      </c>
      <c r="B112" s="8"/>
      <c r="C112" s="9"/>
      <c r="D112" s="9"/>
      <c r="E112" s="9"/>
      <c r="F112" s="10"/>
      <c r="G112" s="10"/>
      <c r="H112" s="10"/>
      <c r="I112" s="10"/>
      <c r="J112" s="9"/>
      <c r="K112" s="11" t="str">
        <f aca="false">IF(OR(F112="",G112="",J112=""),"",J112*ABS(F112-G112))</f>
        <v/>
      </c>
      <c r="L112" s="12" t="str">
        <f aca="false">IF(OR(F112="",G112="",I112="",F112=G112),"",IF(E112="Short",(F112-I112)/(F112-G112),(I112-F112)/(F112-G112)))</f>
        <v/>
      </c>
      <c r="M112" s="7" t="str">
        <f aca="false">IF(L112="","",IF(L112&gt;0.05,"Win",IF(L112&lt;-0.05,"Loss","Breakeven")))</f>
        <v/>
      </c>
      <c r="N112" s="13" t="str">
        <f aca="false">IF(OR(L112="",K112=""),"",L112*K112)</f>
        <v/>
      </c>
      <c r="O112" s="9"/>
      <c r="P112" s="14"/>
      <c r="Q112" s="14"/>
    </row>
    <row r="113" customFormat="false" ht="15" hidden="false" customHeight="false" outlineLevel="0" collapsed="false">
      <c r="A113" s="7" t="str">
        <f aca="false">IF(D113="","",COUNTA($D$2:D113))</f>
        <v/>
      </c>
      <c r="B113" s="8"/>
      <c r="C113" s="9"/>
      <c r="D113" s="9"/>
      <c r="E113" s="9"/>
      <c r="F113" s="10"/>
      <c r="G113" s="10"/>
      <c r="H113" s="10"/>
      <c r="I113" s="10"/>
      <c r="J113" s="9"/>
      <c r="K113" s="11" t="str">
        <f aca="false">IF(OR(F113="",G113="",J113=""),"",J113*ABS(F113-G113))</f>
        <v/>
      </c>
      <c r="L113" s="12" t="str">
        <f aca="false">IF(OR(F113="",G113="",I113="",F113=G113),"",IF(E113="Short",(F113-I113)/(F113-G113),(I113-F113)/(F113-G113)))</f>
        <v/>
      </c>
      <c r="M113" s="7" t="str">
        <f aca="false">IF(L113="","",IF(L113&gt;0.05,"Win",IF(L113&lt;-0.05,"Loss","Breakeven")))</f>
        <v/>
      </c>
      <c r="N113" s="13" t="str">
        <f aca="false">IF(OR(L113="",K113=""),"",L113*K113)</f>
        <v/>
      </c>
      <c r="O113" s="9"/>
      <c r="P113" s="14"/>
      <c r="Q113" s="14"/>
    </row>
    <row r="114" customFormat="false" ht="15" hidden="false" customHeight="false" outlineLevel="0" collapsed="false">
      <c r="A114" s="7" t="str">
        <f aca="false">IF(D114="","",COUNTA($D$2:D114))</f>
        <v/>
      </c>
      <c r="B114" s="8"/>
      <c r="C114" s="9"/>
      <c r="D114" s="9"/>
      <c r="E114" s="9"/>
      <c r="F114" s="10"/>
      <c r="G114" s="10"/>
      <c r="H114" s="10"/>
      <c r="I114" s="10"/>
      <c r="J114" s="9"/>
      <c r="K114" s="11" t="str">
        <f aca="false">IF(OR(F114="",G114="",J114=""),"",J114*ABS(F114-G114))</f>
        <v/>
      </c>
      <c r="L114" s="12" t="str">
        <f aca="false">IF(OR(F114="",G114="",I114="",F114=G114),"",IF(E114="Short",(F114-I114)/(F114-G114),(I114-F114)/(F114-G114)))</f>
        <v/>
      </c>
      <c r="M114" s="7" t="str">
        <f aca="false">IF(L114="","",IF(L114&gt;0.05,"Win",IF(L114&lt;-0.05,"Loss","Breakeven")))</f>
        <v/>
      </c>
      <c r="N114" s="13" t="str">
        <f aca="false">IF(OR(L114="",K114=""),"",L114*K114)</f>
        <v/>
      </c>
      <c r="O114" s="9"/>
      <c r="P114" s="14"/>
      <c r="Q114" s="14"/>
    </row>
    <row r="115" customFormat="false" ht="15" hidden="false" customHeight="false" outlineLevel="0" collapsed="false">
      <c r="A115" s="7" t="str">
        <f aca="false">IF(D115="","",COUNTA($D$2:D115))</f>
        <v/>
      </c>
      <c r="B115" s="8"/>
      <c r="C115" s="9"/>
      <c r="D115" s="9"/>
      <c r="E115" s="9"/>
      <c r="F115" s="10"/>
      <c r="G115" s="10"/>
      <c r="H115" s="10"/>
      <c r="I115" s="10"/>
      <c r="J115" s="9"/>
      <c r="K115" s="11" t="str">
        <f aca="false">IF(OR(F115="",G115="",J115=""),"",J115*ABS(F115-G115))</f>
        <v/>
      </c>
      <c r="L115" s="12" t="str">
        <f aca="false">IF(OR(F115="",G115="",I115="",F115=G115),"",IF(E115="Short",(F115-I115)/(F115-G115),(I115-F115)/(F115-G115)))</f>
        <v/>
      </c>
      <c r="M115" s="7" t="str">
        <f aca="false">IF(L115="","",IF(L115&gt;0.05,"Win",IF(L115&lt;-0.05,"Loss","Breakeven")))</f>
        <v/>
      </c>
      <c r="N115" s="13" t="str">
        <f aca="false">IF(OR(L115="",K115=""),"",L115*K115)</f>
        <v/>
      </c>
      <c r="O115" s="9"/>
      <c r="P115" s="14"/>
      <c r="Q115" s="14"/>
    </row>
    <row r="116" customFormat="false" ht="15" hidden="false" customHeight="false" outlineLevel="0" collapsed="false">
      <c r="A116" s="7" t="str">
        <f aca="false">IF(D116="","",COUNTA($D$2:D116))</f>
        <v/>
      </c>
      <c r="B116" s="8"/>
      <c r="C116" s="9"/>
      <c r="D116" s="9"/>
      <c r="E116" s="9"/>
      <c r="F116" s="10"/>
      <c r="G116" s="10"/>
      <c r="H116" s="10"/>
      <c r="I116" s="10"/>
      <c r="J116" s="9"/>
      <c r="K116" s="11" t="str">
        <f aca="false">IF(OR(F116="",G116="",J116=""),"",J116*ABS(F116-G116))</f>
        <v/>
      </c>
      <c r="L116" s="12" t="str">
        <f aca="false">IF(OR(F116="",G116="",I116="",F116=G116),"",IF(E116="Short",(F116-I116)/(F116-G116),(I116-F116)/(F116-G116)))</f>
        <v/>
      </c>
      <c r="M116" s="7" t="str">
        <f aca="false">IF(L116="","",IF(L116&gt;0.05,"Win",IF(L116&lt;-0.05,"Loss","Breakeven")))</f>
        <v/>
      </c>
      <c r="N116" s="13" t="str">
        <f aca="false">IF(OR(L116="",K116=""),"",L116*K116)</f>
        <v/>
      </c>
      <c r="O116" s="9"/>
      <c r="P116" s="14"/>
      <c r="Q116" s="14"/>
    </row>
    <row r="117" customFormat="false" ht="15" hidden="false" customHeight="false" outlineLevel="0" collapsed="false">
      <c r="A117" s="7" t="str">
        <f aca="false">IF(D117="","",COUNTA($D$2:D117))</f>
        <v/>
      </c>
      <c r="B117" s="8"/>
      <c r="C117" s="9"/>
      <c r="D117" s="9"/>
      <c r="E117" s="9"/>
      <c r="F117" s="10"/>
      <c r="G117" s="10"/>
      <c r="H117" s="10"/>
      <c r="I117" s="10"/>
      <c r="J117" s="9"/>
      <c r="K117" s="11" t="str">
        <f aca="false">IF(OR(F117="",G117="",J117=""),"",J117*ABS(F117-G117))</f>
        <v/>
      </c>
      <c r="L117" s="12" t="str">
        <f aca="false">IF(OR(F117="",G117="",I117="",F117=G117),"",IF(E117="Short",(F117-I117)/(F117-G117),(I117-F117)/(F117-G117)))</f>
        <v/>
      </c>
      <c r="M117" s="7" t="str">
        <f aca="false">IF(L117="","",IF(L117&gt;0.05,"Win",IF(L117&lt;-0.05,"Loss","Breakeven")))</f>
        <v/>
      </c>
      <c r="N117" s="13" t="str">
        <f aca="false">IF(OR(L117="",K117=""),"",L117*K117)</f>
        <v/>
      </c>
      <c r="O117" s="9"/>
      <c r="P117" s="14"/>
      <c r="Q117" s="14"/>
    </row>
    <row r="118" customFormat="false" ht="15" hidden="false" customHeight="false" outlineLevel="0" collapsed="false">
      <c r="A118" s="7" t="str">
        <f aca="false">IF(D118="","",COUNTA($D$2:D118))</f>
        <v/>
      </c>
      <c r="B118" s="8"/>
      <c r="C118" s="9"/>
      <c r="D118" s="9"/>
      <c r="E118" s="9"/>
      <c r="F118" s="10"/>
      <c r="G118" s="10"/>
      <c r="H118" s="10"/>
      <c r="I118" s="10"/>
      <c r="J118" s="9"/>
      <c r="K118" s="11" t="str">
        <f aca="false">IF(OR(F118="",G118="",J118=""),"",J118*ABS(F118-G118))</f>
        <v/>
      </c>
      <c r="L118" s="12" t="str">
        <f aca="false">IF(OR(F118="",G118="",I118="",F118=G118),"",IF(E118="Short",(F118-I118)/(F118-G118),(I118-F118)/(F118-G118)))</f>
        <v/>
      </c>
      <c r="M118" s="7" t="str">
        <f aca="false">IF(L118="","",IF(L118&gt;0.05,"Win",IF(L118&lt;-0.05,"Loss","Breakeven")))</f>
        <v/>
      </c>
      <c r="N118" s="13" t="str">
        <f aca="false">IF(OR(L118="",K118=""),"",L118*K118)</f>
        <v/>
      </c>
      <c r="O118" s="9"/>
      <c r="P118" s="14"/>
      <c r="Q118" s="14"/>
    </row>
    <row r="119" customFormat="false" ht="15" hidden="false" customHeight="false" outlineLevel="0" collapsed="false">
      <c r="A119" s="7" t="str">
        <f aca="false">IF(D119="","",COUNTA($D$2:D119))</f>
        <v/>
      </c>
      <c r="B119" s="8"/>
      <c r="C119" s="9"/>
      <c r="D119" s="9"/>
      <c r="E119" s="9"/>
      <c r="F119" s="10"/>
      <c r="G119" s="10"/>
      <c r="H119" s="10"/>
      <c r="I119" s="10"/>
      <c r="J119" s="9"/>
      <c r="K119" s="11" t="str">
        <f aca="false">IF(OR(F119="",G119="",J119=""),"",J119*ABS(F119-G119))</f>
        <v/>
      </c>
      <c r="L119" s="12" t="str">
        <f aca="false">IF(OR(F119="",G119="",I119="",F119=G119),"",IF(E119="Short",(F119-I119)/(F119-G119),(I119-F119)/(F119-G119)))</f>
        <v/>
      </c>
      <c r="M119" s="7" t="str">
        <f aca="false">IF(L119="","",IF(L119&gt;0.05,"Win",IF(L119&lt;-0.05,"Loss","Breakeven")))</f>
        <v/>
      </c>
      <c r="N119" s="13" t="str">
        <f aca="false">IF(OR(L119="",K119=""),"",L119*K119)</f>
        <v/>
      </c>
      <c r="O119" s="9"/>
      <c r="P119" s="14"/>
      <c r="Q119" s="14"/>
    </row>
    <row r="120" customFormat="false" ht="15" hidden="false" customHeight="false" outlineLevel="0" collapsed="false">
      <c r="A120" s="7" t="str">
        <f aca="false">IF(D120="","",COUNTA($D$2:D120))</f>
        <v/>
      </c>
      <c r="B120" s="8"/>
      <c r="C120" s="9"/>
      <c r="D120" s="9"/>
      <c r="E120" s="9"/>
      <c r="F120" s="10"/>
      <c r="G120" s="10"/>
      <c r="H120" s="10"/>
      <c r="I120" s="10"/>
      <c r="J120" s="9"/>
      <c r="K120" s="11" t="str">
        <f aca="false">IF(OR(F120="",G120="",J120=""),"",J120*ABS(F120-G120))</f>
        <v/>
      </c>
      <c r="L120" s="12" t="str">
        <f aca="false">IF(OR(F120="",G120="",I120="",F120=G120),"",IF(E120="Short",(F120-I120)/(F120-G120),(I120-F120)/(F120-G120)))</f>
        <v/>
      </c>
      <c r="M120" s="7" t="str">
        <f aca="false">IF(L120="","",IF(L120&gt;0.05,"Win",IF(L120&lt;-0.05,"Loss","Breakeven")))</f>
        <v/>
      </c>
      <c r="N120" s="13" t="str">
        <f aca="false">IF(OR(L120="",K120=""),"",L120*K120)</f>
        <v/>
      </c>
      <c r="O120" s="9"/>
      <c r="P120" s="14"/>
      <c r="Q120" s="14"/>
    </row>
    <row r="121" customFormat="false" ht="15" hidden="false" customHeight="false" outlineLevel="0" collapsed="false">
      <c r="A121" s="7" t="str">
        <f aca="false">IF(D121="","",COUNTA($D$2:D121))</f>
        <v/>
      </c>
      <c r="B121" s="8"/>
      <c r="C121" s="9"/>
      <c r="D121" s="9"/>
      <c r="E121" s="9"/>
      <c r="F121" s="10"/>
      <c r="G121" s="10"/>
      <c r="H121" s="10"/>
      <c r="I121" s="10"/>
      <c r="J121" s="9"/>
      <c r="K121" s="11" t="str">
        <f aca="false">IF(OR(F121="",G121="",J121=""),"",J121*ABS(F121-G121))</f>
        <v/>
      </c>
      <c r="L121" s="12" t="str">
        <f aca="false">IF(OR(F121="",G121="",I121="",F121=G121),"",IF(E121="Short",(F121-I121)/(F121-G121),(I121-F121)/(F121-G121)))</f>
        <v/>
      </c>
      <c r="M121" s="7" t="str">
        <f aca="false">IF(L121="","",IF(L121&gt;0.05,"Win",IF(L121&lt;-0.05,"Loss","Breakeven")))</f>
        <v/>
      </c>
      <c r="N121" s="13" t="str">
        <f aca="false">IF(OR(L121="",K121=""),"",L121*K121)</f>
        <v/>
      </c>
      <c r="O121" s="9"/>
      <c r="P121" s="14"/>
      <c r="Q121" s="14"/>
    </row>
    <row r="122" customFormat="false" ht="15" hidden="false" customHeight="false" outlineLevel="0" collapsed="false">
      <c r="A122" s="7" t="str">
        <f aca="false">IF(D122="","",COUNTA($D$2:D122))</f>
        <v/>
      </c>
      <c r="B122" s="8"/>
      <c r="C122" s="9"/>
      <c r="D122" s="9"/>
      <c r="E122" s="9"/>
      <c r="F122" s="10"/>
      <c r="G122" s="10"/>
      <c r="H122" s="10"/>
      <c r="I122" s="10"/>
      <c r="J122" s="9"/>
      <c r="K122" s="11" t="str">
        <f aca="false">IF(OR(F122="",G122="",J122=""),"",J122*ABS(F122-G122))</f>
        <v/>
      </c>
      <c r="L122" s="12" t="str">
        <f aca="false">IF(OR(F122="",G122="",I122="",F122=G122),"",IF(E122="Short",(F122-I122)/(F122-G122),(I122-F122)/(F122-G122)))</f>
        <v/>
      </c>
      <c r="M122" s="7" t="str">
        <f aca="false">IF(L122="","",IF(L122&gt;0.05,"Win",IF(L122&lt;-0.05,"Loss","Breakeven")))</f>
        <v/>
      </c>
      <c r="N122" s="13" t="str">
        <f aca="false">IF(OR(L122="",K122=""),"",L122*K122)</f>
        <v/>
      </c>
      <c r="O122" s="9"/>
      <c r="P122" s="14"/>
      <c r="Q122" s="14"/>
    </row>
    <row r="123" customFormat="false" ht="15" hidden="false" customHeight="false" outlineLevel="0" collapsed="false">
      <c r="A123" s="7" t="str">
        <f aca="false">IF(D123="","",COUNTA($D$2:D123))</f>
        <v/>
      </c>
      <c r="B123" s="8"/>
      <c r="C123" s="9"/>
      <c r="D123" s="9"/>
      <c r="E123" s="9"/>
      <c r="F123" s="10"/>
      <c r="G123" s="10"/>
      <c r="H123" s="10"/>
      <c r="I123" s="10"/>
      <c r="J123" s="9"/>
      <c r="K123" s="11" t="str">
        <f aca="false">IF(OR(F123="",G123="",J123=""),"",J123*ABS(F123-G123))</f>
        <v/>
      </c>
      <c r="L123" s="12" t="str">
        <f aca="false">IF(OR(F123="",G123="",I123="",F123=G123),"",IF(E123="Short",(F123-I123)/(F123-G123),(I123-F123)/(F123-G123)))</f>
        <v/>
      </c>
      <c r="M123" s="7" t="str">
        <f aca="false">IF(L123="","",IF(L123&gt;0.05,"Win",IF(L123&lt;-0.05,"Loss","Breakeven")))</f>
        <v/>
      </c>
      <c r="N123" s="13" t="str">
        <f aca="false">IF(OR(L123="",K123=""),"",L123*K123)</f>
        <v/>
      </c>
      <c r="O123" s="9"/>
      <c r="P123" s="14"/>
      <c r="Q123" s="14"/>
    </row>
    <row r="124" customFormat="false" ht="15" hidden="false" customHeight="false" outlineLevel="0" collapsed="false">
      <c r="A124" s="7" t="str">
        <f aca="false">IF(D124="","",COUNTA($D$2:D124))</f>
        <v/>
      </c>
      <c r="B124" s="8"/>
      <c r="C124" s="9"/>
      <c r="D124" s="9"/>
      <c r="E124" s="9"/>
      <c r="F124" s="10"/>
      <c r="G124" s="10"/>
      <c r="H124" s="10"/>
      <c r="I124" s="10"/>
      <c r="J124" s="9"/>
      <c r="K124" s="11" t="str">
        <f aca="false">IF(OR(F124="",G124="",J124=""),"",J124*ABS(F124-G124))</f>
        <v/>
      </c>
      <c r="L124" s="12" t="str">
        <f aca="false">IF(OR(F124="",G124="",I124="",F124=G124),"",IF(E124="Short",(F124-I124)/(F124-G124),(I124-F124)/(F124-G124)))</f>
        <v/>
      </c>
      <c r="M124" s="7" t="str">
        <f aca="false">IF(L124="","",IF(L124&gt;0.05,"Win",IF(L124&lt;-0.05,"Loss","Breakeven")))</f>
        <v/>
      </c>
      <c r="N124" s="13" t="str">
        <f aca="false">IF(OR(L124="",K124=""),"",L124*K124)</f>
        <v/>
      </c>
      <c r="O124" s="9"/>
      <c r="P124" s="14"/>
      <c r="Q124" s="14"/>
    </row>
    <row r="125" customFormat="false" ht="15" hidden="false" customHeight="false" outlineLevel="0" collapsed="false">
      <c r="A125" s="7" t="str">
        <f aca="false">IF(D125="","",COUNTA($D$2:D125))</f>
        <v/>
      </c>
      <c r="B125" s="8"/>
      <c r="C125" s="9"/>
      <c r="D125" s="9"/>
      <c r="E125" s="9"/>
      <c r="F125" s="10"/>
      <c r="G125" s="10"/>
      <c r="H125" s="10"/>
      <c r="I125" s="10"/>
      <c r="J125" s="9"/>
      <c r="K125" s="11" t="str">
        <f aca="false">IF(OR(F125="",G125="",J125=""),"",J125*ABS(F125-G125))</f>
        <v/>
      </c>
      <c r="L125" s="12" t="str">
        <f aca="false">IF(OR(F125="",G125="",I125="",F125=G125),"",IF(E125="Short",(F125-I125)/(F125-G125),(I125-F125)/(F125-G125)))</f>
        <v/>
      </c>
      <c r="M125" s="7" t="str">
        <f aca="false">IF(L125="","",IF(L125&gt;0.05,"Win",IF(L125&lt;-0.05,"Loss","Breakeven")))</f>
        <v/>
      </c>
      <c r="N125" s="13" t="str">
        <f aca="false">IF(OR(L125="",K125=""),"",L125*K125)</f>
        <v/>
      </c>
      <c r="O125" s="9"/>
      <c r="P125" s="14"/>
      <c r="Q125" s="14"/>
    </row>
    <row r="126" customFormat="false" ht="15" hidden="false" customHeight="false" outlineLevel="0" collapsed="false">
      <c r="A126" s="7" t="str">
        <f aca="false">IF(D126="","",COUNTA($D$2:D126))</f>
        <v/>
      </c>
      <c r="B126" s="8"/>
      <c r="C126" s="9"/>
      <c r="D126" s="9"/>
      <c r="E126" s="9"/>
      <c r="F126" s="10"/>
      <c r="G126" s="10"/>
      <c r="H126" s="10"/>
      <c r="I126" s="10"/>
      <c r="J126" s="9"/>
      <c r="K126" s="11" t="str">
        <f aca="false">IF(OR(F126="",G126="",J126=""),"",J126*ABS(F126-G126))</f>
        <v/>
      </c>
      <c r="L126" s="12" t="str">
        <f aca="false">IF(OR(F126="",G126="",I126="",F126=G126),"",IF(E126="Short",(F126-I126)/(F126-G126),(I126-F126)/(F126-G126)))</f>
        <v/>
      </c>
      <c r="M126" s="7" t="str">
        <f aca="false">IF(L126="","",IF(L126&gt;0.05,"Win",IF(L126&lt;-0.05,"Loss","Breakeven")))</f>
        <v/>
      </c>
      <c r="N126" s="13" t="str">
        <f aca="false">IF(OR(L126="",K126=""),"",L126*K126)</f>
        <v/>
      </c>
      <c r="O126" s="9"/>
      <c r="P126" s="14"/>
      <c r="Q126" s="14"/>
    </row>
    <row r="127" customFormat="false" ht="15" hidden="false" customHeight="false" outlineLevel="0" collapsed="false">
      <c r="A127" s="7" t="str">
        <f aca="false">IF(D127="","",COUNTA($D$2:D127))</f>
        <v/>
      </c>
      <c r="B127" s="8"/>
      <c r="C127" s="9"/>
      <c r="D127" s="9"/>
      <c r="E127" s="9"/>
      <c r="F127" s="10"/>
      <c r="G127" s="10"/>
      <c r="H127" s="10"/>
      <c r="I127" s="10"/>
      <c r="J127" s="9"/>
      <c r="K127" s="11" t="str">
        <f aca="false">IF(OR(F127="",G127="",J127=""),"",J127*ABS(F127-G127))</f>
        <v/>
      </c>
      <c r="L127" s="12" t="str">
        <f aca="false">IF(OR(F127="",G127="",I127="",F127=G127),"",IF(E127="Short",(F127-I127)/(F127-G127),(I127-F127)/(F127-G127)))</f>
        <v/>
      </c>
      <c r="M127" s="7" t="str">
        <f aca="false">IF(L127="","",IF(L127&gt;0.05,"Win",IF(L127&lt;-0.05,"Loss","Breakeven")))</f>
        <v/>
      </c>
      <c r="N127" s="13" t="str">
        <f aca="false">IF(OR(L127="",K127=""),"",L127*K127)</f>
        <v/>
      </c>
      <c r="O127" s="9"/>
      <c r="P127" s="14"/>
      <c r="Q127" s="14"/>
    </row>
    <row r="128" customFormat="false" ht="15" hidden="false" customHeight="false" outlineLevel="0" collapsed="false">
      <c r="A128" s="7" t="str">
        <f aca="false">IF(D128="","",COUNTA($D$2:D128))</f>
        <v/>
      </c>
      <c r="B128" s="8"/>
      <c r="C128" s="9"/>
      <c r="D128" s="9"/>
      <c r="E128" s="9"/>
      <c r="F128" s="10"/>
      <c r="G128" s="10"/>
      <c r="H128" s="10"/>
      <c r="I128" s="10"/>
      <c r="J128" s="9"/>
      <c r="K128" s="11" t="str">
        <f aca="false">IF(OR(F128="",G128="",J128=""),"",J128*ABS(F128-G128))</f>
        <v/>
      </c>
      <c r="L128" s="12" t="str">
        <f aca="false">IF(OR(F128="",G128="",I128="",F128=G128),"",IF(E128="Short",(F128-I128)/(F128-G128),(I128-F128)/(F128-G128)))</f>
        <v/>
      </c>
      <c r="M128" s="7" t="str">
        <f aca="false">IF(L128="","",IF(L128&gt;0.05,"Win",IF(L128&lt;-0.05,"Loss","Breakeven")))</f>
        <v/>
      </c>
      <c r="N128" s="13" t="str">
        <f aca="false">IF(OR(L128="",K128=""),"",L128*K128)</f>
        <v/>
      </c>
      <c r="O128" s="9"/>
      <c r="P128" s="14"/>
      <c r="Q128" s="14"/>
    </row>
    <row r="129" customFormat="false" ht="15" hidden="false" customHeight="false" outlineLevel="0" collapsed="false">
      <c r="A129" s="7" t="str">
        <f aca="false">IF(D129="","",COUNTA($D$2:D129))</f>
        <v/>
      </c>
      <c r="B129" s="8"/>
      <c r="C129" s="9"/>
      <c r="D129" s="9"/>
      <c r="E129" s="9"/>
      <c r="F129" s="10"/>
      <c r="G129" s="10"/>
      <c r="H129" s="10"/>
      <c r="I129" s="10"/>
      <c r="J129" s="9"/>
      <c r="K129" s="11" t="str">
        <f aca="false">IF(OR(F129="",G129="",J129=""),"",J129*ABS(F129-G129))</f>
        <v/>
      </c>
      <c r="L129" s="12" t="str">
        <f aca="false">IF(OR(F129="",G129="",I129="",F129=G129),"",IF(E129="Short",(F129-I129)/(F129-G129),(I129-F129)/(F129-G129)))</f>
        <v/>
      </c>
      <c r="M129" s="7" t="str">
        <f aca="false">IF(L129="","",IF(L129&gt;0.05,"Win",IF(L129&lt;-0.05,"Loss","Breakeven")))</f>
        <v/>
      </c>
      <c r="N129" s="13" t="str">
        <f aca="false">IF(OR(L129="",K129=""),"",L129*K129)</f>
        <v/>
      </c>
      <c r="O129" s="9"/>
      <c r="P129" s="14"/>
      <c r="Q129" s="14"/>
    </row>
    <row r="130" customFormat="false" ht="15" hidden="false" customHeight="false" outlineLevel="0" collapsed="false">
      <c r="A130" s="7" t="str">
        <f aca="false">IF(D130="","",COUNTA($D$2:D130))</f>
        <v/>
      </c>
      <c r="B130" s="8"/>
      <c r="C130" s="9"/>
      <c r="D130" s="9"/>
      <c r="E130" s="9"/>
      <c r="F130" s="10"/>
      <c r="G130" s="10"/>
      <c r="H130" s="10"/>
      <c r="I130" s="10"/>
      <c r="J130" s="9"/>
      <c r="K130" s="11" t="str">
        <f aca="false">IF(OR(F130="",G130="",J130=""),"",J130*ABS(F130-G130))</f>
        <v/>
      </c>
      <c r="L130" s="12" t="str">
        <f aca="false">IF(OR(F130="",G130="",I130="",F130=G130),"",IF(E130="Short",(F130-I130)/(F130-G130),(I130-F130)/(F130-G130)))</f>
        <v/>
      </c>
      <c r="M130" s="7" t="str">
        <f aca="false">IF(L130="","",IF(L130&gt;0.05,"Win",IF(L130&lt;-0.05,"Loss","Breakeven")))</f>
        <v/>
      </c>
      <c r="N130" s="13" t="str">
        <f aca="false">IF(OR(L130="",K130=""),"",L130*K130)</f>
        <v/>
      </c>
      <c r="O130" s="9"/>
      <c r="P130" s="14"/>
      <c r="Q130" s="14"/>
    </row>
    <row r="131" customFormat="false" ht="15" hidden="false" customHeight="false" outlineLevel="0" collapsed="false">
      <c r="A131" s="7" t="str">
        <f aca="false">IF(D131="","",COUNTA($D$2:D131))</f>
        <v/>
      </c>
      <c r="B131" s="8"/>
      <c r="C131" s="9"/>
      <c r="D131" s="9"/>
      <c r="E131" s="9"/>
      <c r="F131" s="10"/>
      <c r="G131" s="10"/>
      <c r="H131" s="10"/>
      <c r="I131" s="10"/>
      <c r="J131" s="9"/>
      <c r="K131" s="11" t="str">
        <f aca="false">IF(OR(F131="",G131="",J131=""),"",J131*ABS(F131-G131))</f>
        <v/>
      </c>
      <c r="L131" s="12" t="str">
        <f aca="false">IF(OR(F131="",G131="",I131="",F131=G131),"",IF(E131="Short",(F131-I131)/(F131-G131),(I131-F131)/(F131-G131)))</f>
        <v/>
      </c>
      <c r="M131" s="7" t="str">
        <f aca="false">IF(L131="","",IF(L131&gt;0.05,"Win",IF(L131&lt;-0.05,"Loss","Breakeven")))</f>
        <v/>
      </c>
      <c r="N131" s="13" t="str">
        <f aca="false">IF(OR(L131="",K131=""),"",L131*K131)</f>
        <v/>
      </c>
      <c r="O131" s="9"/>
      <c r="P131" s="14"/>
      <c r="Q131" s="14"/>
    </row>
    <row r="132" customFormat="false" ht="15" hidden="false" customHeight="false" outlineLevel="0" collapsed="false">
      <c r="A132" s="7" t="str">
        <f aca="false">IF(D132="","",COUNTA($D$2:D132))</f>
        <v/>
      </c>
      <c r="B132" s="8"/>
      <c r="C132" s="9"/>
      <c r="D132" s="9"/>
      <c r="E132" s="9"/>
      <c r="F132" s="10"/>
      <c r="G132" s="10"/>
      <c r="H132" s="10"/>
      <c r="I132" s="10"/>
      <c r="J132" s="9"/>
      <c r="K132" s="11" t="str">
        <f aca="false">IF(OR(F132="",G132="",J132=""),"",J132*ABS(F132-G132))</f>
        <v/>
      </c>
      <c r="L132" s="12" t="str">
        <f aca="false">IF(OR(F132="",G132="",I132="",F132=G132),"",IF(E132="Short",(F132-I132)/(F132-G132),(I132-F132)/(F132-G132)))</f>
        <v/>
      </c>
      <c r="M132" s="7" t="str">
        <f aca="false">IF(L132="","",IF(L132&gt;0.05,"Win",IF(L132&lt;-0.05,"Loss","Breakeven")))</f>
        <v/>
      </c>
      <c r="N132" s="13" t="str">
        <f aca="false">IF(OR(L132="",K132=""),"",L132*K132)</f>
        <v/>
      </c>
      <c r="O132" s="9"/>
      <c r="P132" s="14"/>
      <c r="Q132" s="14"/>
    </row>
    <row r="133" customFormat="false" ht="15" hidden="false" customHeight="false" outlineLevel="0" collapsed="false">
      <c r="A133" s="7" t="str">
        <f aca="false">IF(D133="","",COUNTA($D$2:D133))</f>
        <v/>
      </c>
      <c r="B133" s="8"/>
      <c r="C133" s="9"/>
      <c r="D133" s="9"/>
      <c r="E133" s="9"/>
      <c r="F133" s="10"/>
      <c r="G133" s="10"/>
      <c r="H133" s="10"/>
      <c r="I133" s="10"/>
      <c r="J133" s="9"/>
      <c r="K133" s="11" t="str">
        <f aca="false">IF(OR(F133="",G133="",J133=""),"",J133*ABS(F133-G133))</f>
        <v/>
      </c>
      <c r="L133" s="12" t="str">
        <f aca="false">IF(OR(F133="",G133="",I133="",F133=G133),"",IF(E133="Short",(F133-I133)/(F133-G133),(I133-F133)/(F133-G133)))</f>
        <v/>
      </c>
      <c r="M133" s="7" t="str">
        <f aca="false">IF(L133="","",IF(L133&gt;0.05,"Win",IF(L133&lt;-0.05,"Loss","Breakeven")))</f>
        <v/>
      </c>
      <c r="N133" s="13" t="str">
        <f aca="false">IF(OR(L133="",K133=""),"",L133*K133)</f>
        <v/>
      </c>
      <c r="O133" s="9"/>
      <c r="P133" s="14"/>
      <c r="Q133" s="14"/>
    </row>
    <row r="134" customFormat="false" ht="15" hidden="false" customHeight="false" outlineLevel="0" collapsed="false">
      <c r="A134" s="7" t="str">
        <f aca="false">IF(D134="","",COUNTA($D$2:D134))</f>
        <v/>
      </c>
      <c r="B134" s="8"/>
      <c r="C134" s="9"/>
      <c r="D134" s="9"/>
      <c r="E134" s="9"/>
      <c r="F134" s="10"/>
      <c r="G134" s="10"/>
      <c r="H134" s="10"/>
      <c r="I134" s="10"/>
      <c r="J134" s="9"/>
      <c r="K134" s="11" t="str">
        <f aca="false">IF(OR(F134="",G134="",J134=""),"",J134*ABS(F134-G134))</f>
        <v/>
      </c>
      <c r="L134" s="12" t="str">
        <f aca="false">IF(OR(F134="",G134="",I134="",F134=G134),"",IF(E134="Short",(F134-I134)/(F134-G134),(I134-F134)/(F134-G134)))</f>
        <v/>
      </c>
      <c r="M134" s="7" t="str">
        <f aca="false">IF(L134="","",IF(L134&gt;0.05,"Win",IF(L134&lt;-0.05,"Loss","Breakeven")))</f>
        <v/>
      </c>
      <c r="N134" s="13" t="str">
        <f aca="false">IF(OR(L134="",K134=""),"",L134*K134)</f>
        <v/>
      </c>
      <c r="O134" s="9"/>
      <c r="P134" s="14"/>
      <c r="Q134" s="14"/>
    </row>
    <row r="135" customFormat="false" ht="15" hidden="false" customHeight="false" outlineLevel="0" collapsed="false">
      <c r="A135" s="7" t="str">
        <f aca="false">IF(D135="","",COUNTA($D$2:D135))</f>
        <v/>
      </c>
      <c r="B135" s="8"/>
      <c r="C135" s="9"/>
      <c r="D135" s="9"/>
      <c r="E135" s="9"/>
      <c r="F135" s="10"/>
      <c r="G135" s="10"/>
      <c r="H135" s="10"/>
      <c r="I135" s="10"/>
      <c r="J135" s="9"/>
      <c r="K135" s="11" t="str">
        <f aca="false">IF(OR(F135="",G135="",J135=""),"",J135*ABS(F135-G135))</f>
        <v/>
      </c>
      <c r="L135" s="12" t="str">
        <f aca="false">IF(OR(F135="",G135="",I135="",F135=G135),"",IF(E135="Short",(F135-I135)/(F135-G135),(I135-F135)/(F135-G135)))</f>
        <v/>
      </c>
      <c r="M135" s="7" t="str">
        <f aca="false">IF(L135="","",IF(L135&gt;0.05,"Win",IF(L135&lt;-0.05,"Loss","Breakeven")))</f>
        <v/>
      </c>
      <c r="N135" s="13" t="str">
        <f aca="false">IF(OR(L135="",K135=""),"",L135*K135)</f>
        <v/>
      </c>
      <c r="O135" s="9"/>
      <c r="P135" s="14"/>
      <c r="Q135" s="14"/>
    </row>
    <row r="136" customFormat="false" ht="15" hidden="false" customHeight="false" outlineLevel="0" collapsed="false">
      <c r="A136" s="7" t="str">
        <f aca="false">IF(D136="","",COUNTA($D$2:D136))</f>
        <v/>
      </c>
      <c r="B136" s="8"/>
      <c r="C136" s="9"/>
      <c r="D136" s="9"/>
      <c r="E136" s="9"/>
      <c r="F136" s="10"/>
      <c r="G136" s="10"/>
      <c r="H136" s="10"/>
      <c r="I136" s="10"/>
      <c r="J136" s="9"/>
      <c r="K136" s="11" t="str">
        <f aca="false">IF(OR(F136="",G136="",J136=""),"",J136*ABS(F136-G136))</f>
        <v/>
      </c>
      <c r="L136" s="12" t="str">
        <f aca="false">IF(OR(F136="",G136="",I136="",F136=G136),"",IF(E136="Short",(F136-I136)/(F136-G136),(I136-F136)/(F136-G136)))</f>
        <v/>
      </c>
      <c r="M136" s="7" t="str">
        <f aca="false">IF(L136="","",IF(L136&gt;0.05,"Win",IF(L136&lt;-0.05,"Loss","Breakeven")))</f>
        <v/>
      </c>
      <c r="N136" s="13" t="str">
        <f aca="false">IF(OR(L136="",K136=""),"",L136*K136)</f>
        <v/>
      </c>
      <c r="O136" s="9"/>
      <c r="P136" s="14"/>
      <c r="Q136" s="14"/>
    </row>
    <row r="137" customFormat="false" ht="15" hidden="false" customHeight="false" outlineLevel="0" collapsed="false">
      <c r="A137" s="7" t="str">
        <f aca="false">IF(D137="","",COUNTA($D$2:D137))</f>
        <v/>
      </c>
      <c r="B137" s="8"/>
      <c r="C137" s="9"/>
      <c r="D137" s="9"/>
      <c r="E137" s="9"/>
      <c r="F137" s="10"/>
      <c r="G137" s="10"/>
      <c r="H137" s="10"/>
      <c r="I137" s="10"/>
      <c r="J137" s="9"/>
      <c r="K137" s="11" t="str">
        <f aca="false">IF(OR(F137="",G137="",J137=""),"",J137*ABS(F137-G137))</f>
        <v/>
      </c>
      <c r="L137" s="12" t="str">
        <f aca="false">IF(OR(F137="",G137="",I137="",F137=G137),"",IF(E137="Short",(F137-I137)/(F137-G137),(I137-F137)/(F137-G137)))</f>
        <v/>
      </c>
      <c r="M137" s="7" t="str">
        <f aca="false">IF(L137="","",IF(L137&gt;0.05,"Win",IF(L137&lt;-0.05,"Loss","Breakeven")))</f>
        <v/>
      </c>
      <c r="N137" s="13" t="str">
        <f aca="false">IF(OR(L137="",K137=""),"",L137*K137)</f>
        <v/>
      </c>
      <c r="O137" s="9"/>
      <c r="P137" s="14"/>
      <c r="Q137" s="14"/>
    </row>
    <row r="138" customFormat="false" ht="15" hidden="false" customHeight="false" outlineLevel="0" collapsed="false">
      <c r="A138" s="7" t="str">
        <f aca="false">IF(D138="","",COUNTA($D$2:D138))</f>
        <v/>
      </c>
      <c r="B138" s="8"/>
      <c r="C138" s="9"/>
      <c r="D138" s="9"/>
      <c r="E138" s="9"/>
      <c r="F138" s="10"/>
      <c r="G138" s="10"/>
      <c r="H138" s="10"/>
      <c r="I138" s="10"/>
      <c r="J138" s="9"/>
      <c r="K138" s="11" t="str">
        <f aca="false">IF(OR(F138="",G138="",J138=""),"",J138*ABS(F138-G138))</f>
        <v/>
      </c>
      <c r="L138" s="12" t="str">
        <f aca="false">IF(OR(F138="",G138="",I138="",F138=G138),"",IF(E138="Short",(F138-I138)/(F138-G138),(I138-F138)/(F138-G138)))</f>
        <v/>
      </c>
      <c r="M138" s="7" t="str">
        <f aca="false">IF(L138="","",IF(L138&gt;0.05,"Win",IF(L138&lt;-0.05,"Loss","Breakeven")))</f>
        <v/>
      </c>
      <c r="N138" s="13" t="str">
        <f aca="false">IF(OR(L138="",K138=""),"",L138*K138)</f>
        <v/>
      </c>
      <c r="O138" s="9"/>
      <c r="P138" s="14"/>
      <c r="Q138" s="14"/>
    </row>
    <row r="139" customFormat="false" ht="15" hidden="false" customHeight="false" outlineLevel="0" collapsed="false">
      <c r="A139" s="7" t="str">
        <f aca="false">IF(D139="","",COUNTA($D$2:D139))</f>
        <v/>
      </c>
      <c r="B139" s="8"/>
      <c r="C139" s="9"/>
      <c r="D139" s="9"/>
      <c r="E139" s="9"/>
      <c r="F139" s="10"/>
      <c r="G139" s="10"/>
      <c r="H139" s="10"/>
      <c r="I139" s="10"/>
      <c r="J139" s="9"/>
      <c r="K139" s="11" t="str">
        <f aca="false">IF(OR(F139="",G139="",J139=""),"",J139*ABS(F139-G139))</f>
        <v/>
      </c>
      <c r="L139" s="12" t="str">
        <f aca="false">IF(OR(F139="",G139="",I139="",F139=G139),"",IF(E139="Short",(F139-I139)/(F139-G139),(I139-F139)/(F139-G139)))</f>
        <v/>
      </c>
      <c r="M139" s="7" t="str">
        <f aca="false">IF(L139="","",IF(L139&gt;0.05,"Win",IF(L139&lt;-0.05,"Loss","Breakeven")))</f>
        <v/>
      </c>
      <c r="N139" s="13" t="str">
        <f aca="false">IF(OR(L139="",K139=""),"",L139*K139)</f>
        <v/>
      </c>
      <c r="O139" s="9"/>
      <c r="P139" s="14"/>
      <c r="Q139" s="14"/>
    </row>
    <row r="140" customFormat="false" ht="15" hidden="false" customHeight="false" outlineLevel="0" collapsed="false">
      <c r="A140" s="7" t="str">
        <f aca="false">IF(D140="","",COUNTA($D$2:D140))</f>
        <v/>
      </c>
      <c r="B140" s="8"/>
      <c r="C140" s="9"/>
      <c r="D140" s="9"/>
      <c r="E140" s="9"/>
      <c r="F140" s="10"/>
      <c r="G140" s="10"/>
      <c r="H140" s="10"/>
      <c r="I140" s="10"/>
      <c r="J140" s="9"/>
      <c r="K140" s="11" t="str">
        <f aca="false">IF(OR(F140="",G140="",J140=""),"",J140*ABS(F140-G140))</f>
        <v/>
      </c>
      <c r="L140" s="12" t="str">
        <f aca="false">IF(OR(F140="",G140="",I140="",F140=G140),"",IF(E140="Short",(F140-I140)/(F140-G140),(I140-F140)/(F140-G140)))</f>
        <v/>
      </c>
      <c r="M140" s="7" t="str">
        <f aca="false">IF(L140="","",IF(L140&gt;0.05,"Win",IF(L140&lt;-0.05,"Loss","Breakeven")))</f>
        <v/>
      </c>
      <c r="N140" s="13" t="str">
        <f aca="false">IF(OR(L140="",K140=""),"",L140*K140)</f>
        <v/>
      </c>
      <c r="O140" s="9"/>
      <c r="P140" s="14"/>
      <c r="Q140" s="14"/>
    </row>
    <row r="141" customFormat="false" ht="15" hidden="false" customHeight="false" outlineLevel="0" collapsed="false">
      <c r="A141" s="7" t="str">
        <f aca="false">IF(D141="","",COUNTA($D$2:D141))</f>
        <v/>
      </c>
      <c r="B141" s="8"/>
      <c r="C141" s="9"/>
      <c r="D141" s="9"/>
      <c r="E141" s="9"/>
      <c r="F141" s="10"/>
      <c r="G141" s="10"/>
      <c r="H141" s="10"/>
      <c r="I141" s="10"/>
      <c r="J141" s="9"/>
      <c r="K141" s="11" t="str">
        <f aca="false">IF(OR(F141="",G141="",J141=""),"",J141*ABS(F141-G141))</f>
        <v/>
      </c>
      <c r="L141" s="12" t="str">
        <f aca="false">IF(OR(F141="",G141="",I141="",F141=G141),"",IF(E141="Short",(F141-I141)/(F141-G141),(I141-F141)/(F141-G141)))</f>
        <v/>
      </c>
      <c r="M141" s="7" t="str">
        <f aca="false">IF(L141="","",IF(L141&gt;0.05,"Win",IF(L141&lt;-0.05,"Loss","Breakeven")))</f>
        <v/>
      </c>
      <c r="N141" s="13" t="str">
        <f aca="false">IF(OR(L141="",K141=""),"",L141*K141)</f>
        <v/>
      </c>
      <c r="O141" s="9"/>
      <c r="P141" s="14"/>
      <c r="Q141" s="14"/>
    </row>
    <row r="142" customFormat="false" ht="15" hidden="false" customHeight="false" outlineLevel="0" collapsed="false">
      <c r="A142" s="7" t="str">
        <f aca="false">IF(D142="","",COUNTA($D$2:D142))</f>
        <v/>
      </c>
      <c r="B142" s="8"/>
      <c r="C142" s="9"/>
      <c r="D142" s="9"/>
      <c r="E142" s="9"/>
      <c r="F142" s="10"/>
      <c r="G142" s="10"/>
      <c r="H142" s="10"/>
      <c r="I142" s="10"/>
      <c r="J142" s="9"/>
      <c r="K142" s="11" t="str">
        <f aca="false">IF(OR(F142="",G142="",J142=""),"",J142*ABS(F142-G142))</f>
        <v/>
      </c>
      <c r="L142" s="12" t="str">
        <f aca="false">IF(OR(F142="",G142="",I142="",F142=G142),"",IF(E142="Short",(F142-I142)/(F142-G142),(I142-F142)/(F142-G142)))</f>
        <v/>
      </c>
      <c r="M142" s="7" t="str">
        <f aca="false">IF(L142="","",IF(L142&gt;0.05,"Win",IF(L142&lt;-0.05,"Loss","Breakeven")))</f>
        <v/>
      </c>
      <c r="N142" s="13" t="str">
        <f aca="false">IF(OR(L142="",K142=""),"",L142*K142)</f>
        <v/>
      </c>
      <c r="O142" s="9"/>
      <c r="P142" s="14"/>
      <c r="Q142" s="14"/>
    </row>
    <row r="143" customFormat="false" ht="15" hidden="false" customHeight="false" outlineLevel="0" collapsed="false">
      <c r="A143" s="7" t="str">
        <f aca="false">IF(D143="","",COUNTA($D$2:D143))</f>
        <v/>
      </c>
      <c r="B143" s="8"/>
      <c r="C143" s="9"/>
      <c r="D143" s="9"/>
      <c r="E143" s="9"/>
      <c r="F143" s="10"/>
      <c r="G143" s="10"/>
      <c r="H143" s="10"/>
      <c r="I143" s="10"/>
      <c r="J143" s="9"/>
      <c r="K143" s="11" t="str">
        <f aca="false">IF(OR(F143="",G143="",J143=""),"",J143*ABS(F143-G143))</f>
        <v/>
      </c>
      <c r="L143" s="12" t="str">
        <f aca="false">IF(OR(F143="",G143="",I143="",F143=G143),"",IF(E143="Short",(F143-I143)/(F143-G143),(I143-F143)/(F143-G143)))</f>
        <v/>
      </c>
      <c r="M143" s="7" t="str">
        <f aca="false">IF(L143="","",IF(L143&gt;0.05,"Win",IF(L143&lt;-0.05,"Loss","Breakeven")))</f>
        <v/>
      </c>
      <c r="N143" s="13" t="str">
        <f aca="false">IF(OR(L143="",K143=""),"",L143*K143)</f>
        <v/>
      </c>
      <c r="O143" s="9"/>
      <c r="P143" s="14"/>
      <c r="Q143" s="14"/>
    </row>
    <row r="144" customFormat="false" ht="15" hidden="false" customHeight="false" outlineLevel="0" collapsed="false">
      <c r="A144" s="7" t="str">
        <f aca="false">IF(D144="","",COUNTA($D$2:D144))</f>
        <v/>
      </c>
      <c r="B144" s="8"/>
      <c r="C144" s="9"/>
      <c r="D144" s="9"/>
      <c r="E144" s="9"/>
      <c r="F144" s="10"/>
      <c r="G144" s="10"/>
      <c r="H144" s="10"/>
      <c r="I144" s="10"/>
      <c r="J144" s="9"/>
      <c r="K144" s="11" t="str">
        <f aca="false">IF(OR(F144="",G144="",J144=""),"",J144*ABS(F144-G144))</f>
        <v/>
      </c>
      <c r="L144" s="12" t="str">
        <f aca="false">IF(OR(F144="",G144="",I144="",F144=G144),"",IF(E144="Short",(F144-I144)/(F144-G144),(I144-F144)/(F144-G144)))</f>
        <v/>
      </c>
      <c r="M144" s="7" t="str">
        <f aca="false">IF(L144="","",IF(L144&gt;0.05,"Win",IF(L144&lt;-0.05,"Loss","Breakeven")))</f>
        <v/>
      </c>
      <c r="N144" s="13" t="str">
        <f aca="false">IF(OR(L144="",K144=""),"",L144*K144)</f>
        <v/>
      </c>
      <c r="O144" s="9"/>
      <c r="P144" s="14"/>
      <c r="Q144" s="14"/>
    </row>
    <row r="145" customFormat="false" ht="15" hidden="false" customHeight="false" outlineLevel="0" collapsed="false">
      <c r="A145" s="7" t="str">
        <f aca="false">IF(D145="","",COUNTA($D$2:D145))</f>
        <v/>
      </c>
      <c r="B145" s="8"/>
      <c r="C145" s="9"/>
      <c r="D145" s="9"/>
      <c r="E145" s="9"/>
      <c r="F145" s="10"/>
      <c r="G145" s="10"/>
      <c r="H145" s="10"/>
      <c r="I145" s="10"/>
      <c r="J145" s="9"/>
      <c r="K145" s="11" t="str">
        <f aca="false">IF(OR(F145="",G145="",J145=""),"",J145*ABS(F145-G145))</f>
        <v/>
      </c>
      <c r="L145" s="12" t="str">
        <f aca="false">IF(OR(F145="",G145="",I145="",F145=G145),"",IF(E145="Short",(F145-I145)/(F145-G145),(I145-F145)/(F145-G145)))</f>
        <v/>
      </c>
      <c r="M145" s="7" t="str">
        <f aca="false">IF(L145="","",IF(L145&gt;0.05,"Win",IF(L145&lt;-0.05,"Loss","Breakeven")))</f>
        <v/>
      </c>
      <c r="N145" s="13" t="str">
        <f aca="false">IF(OR(L145="",K145=""),"",L145*K145)</f>
        <v/>
      </c>
      <c r="O145" s="9"/>
      <c r="P145" s="14"/>
      <c r="Q145" s="14"/>
    </row>
    <row r="146" customFormat="false" ht="15" hidden="false" customHeight="false" outlineLevel="0" collapsed="false">
      <c r="A146" s="7" t="str">
        <f aca="false">IF(D146="","",COUNTA($D$2:D146))</f>
        <v/>
      </c>
      <c r="B146" s="8"/>
      <c r="C146" s="9"/>
      <c r="D146" s="9"/>
      <c r="E146" s="9"/>
      <c r="F146" s="10"/>
      <c r="G146" s="10"/>
      <c r="H146" s="10"/>
      <c r="I146" s="10"/>
      <c r="J146" s="9"/>
      <c r="K146" s="11" t="str">
        <f aca="false">IF(OR(F146="",G146="",J146=""),"",J146*ABS(F146-G146))</f>
        <v/>
      </c>
      <c r="L146" s="12" t="str">
        <f aca="false">IF(OR(F146="",G146="",I146="",F146=G146),"",IF(E146="Short",(F146-I146)/(F146-G146),(I146-F146)/(F146-G146)))</f>
        <v/>
      </c>
      <c r="M146" s="7" t="str">
        <f aca="false">IF(L146="","",IF(L146&gt;0.05,"Win",IF(L146&lt;-0.05,"Loss","Breakeven")))</f>
        <v/>
      </c>
      <c r="N146" s="13" t="str">
        <f aca="false">IF(OR(L146="",K146=""),"",L146*K146)</f>
        <v/>
      </c>
      <c r="O146" s="9"/>
      <c r="P146" s="14"/>
      <c r="Q146" s="14"/>
    </row>
    <row r="147" customFormat="false" ht="15" hidden="false" customHeight="false" outlineLevel="0" collapsed="false">
      <c r="A147" s="7" t="str">
        <f aca="false">IF(D147="","",COUNTA($D$2:D147))</f>
        <v/>
      </c>
      <c r="B147" s="8"/>
      <c r="C147" s="9"/>
      <c r="D147" s="9"/>
      <c r="E147" s="9"/>
      <c r="F147" s="10"/>
      <c r="G147" s="10"/>
      <c r="H147" s="10"/>
      <c r="I147" s="10"/>
      <c r="J147" s="9"/>
      <c r="K147" s="11" t="str">
        <f aca="false">IF(OR(F147="",G147="",J147=""),"",J147*ABS(F147-G147))</f>
        <v/>
      </c>
      <c r="L147" s="12" t="str">
        <f aca="false">IF(OR(F147="",G147="",I147="",F147=G147),"",IF(E147="Short",(F147-I147)/(F147-G147),(I147-F147)/(F147-G147)))</f>
        <v/>
      </c>
      <c r="M147" s="7" t="str">
        <f aca="false">IF(L147="","",IF(L147&gt;0.05,"Win",IF(L147&lt;-0.05,"Loss","Breakeven")))</f>
        <v/>
      </c>
      <c r="N147" s="13" t="str">
        <f aca="false">IF(OR(L147="",K147=""),"",L147*K147)</f>
        <v/>
      </c>
      <c r="O147" s="9"/>
      <c r="P147" s="14"/>
      <c r="Q147" s="14"/>
    </row>
    <row r="148" customFormat="false" ht="15" hidden="false" customHeight="false" outlineLevel="0" collapsed="false">
      <c r="A148" s="7" t="str">
        <f aca="false">IF(D148="","",COUNTA($D$2:D148))</f>
        <v/>
      </c>
      <c r="B148" s="8"/>
      <c r="C148" s="9"/>
      <c r="D148" s="9"/>
      <c r="E148" s="9"/>
      <c r="F148" s="10"/>
      <c r="G148" s="10"/>
      <c r="H148" s="10"/>
      <c r="I148" s="10"/>
      <c r="J148" s="9"/>
      <c r="K148" s="11" t="str">
        <f aca="false">IF(OR(F148="",G148="",J148=""),"",J148*ABS(F148-G148))</f>
        <v/>
      </c>
      <c r="L148" s="12" t="str">
        <f aca="false">IF(OR(F148="",G148="",I148="",F148=G148),"",IF(E148="Short",(F148-I148)/(F148-G148),(I148-F148)/(F148-G148)))</f>
        <v/>
      </c>
      <c r="M148" s="7" t="str">
        <f aca="false">IF(L148="","",IF(L148&gt;0.05,"Win",IF(L148&lt;-0.05,"Loss","Breakeven")))</f>
        <v/>
      </c>
      <c r="N148" s="13" t="str">
        <f aca="false">IF(OR(L148="",K148=""),"",L148*K148)</f>
        <v/>
      </c>
      <c r="O148" s="9"/>
      <c r="P148" s="14"/>
      <c r="Q148" s="14"/>
    </row>
    <row r="149" customFormat="false" ht="15" hidden="false" customHeight="false" outlineLevel="0" collapsed="false">
      <c r="A149" s="7" t="str">
        <f aca="false">IF(D149="","",COUNTA($D$2:D149))</f>
        <v/>
      </c>
      <c r="B149" s="8"/>
      <c r="C149" s="9"/>
      <c r="D149" s="9"/>
      <c r="E149" s="9"/>
      <c r="F149" s="10"/>
      <c r="G149" s="10"/>
      <c r="H149" s="10"/>
      <c r="I149" s="10"/>
      <c r="J149" s="9"/>
      <c r="K149" s="11" t="str">
        <f aca="false">IF(OR(F149="",G149="",J149=""),"",J149*ABS(F149-G149))</f>
        <v/>
      </c>
      <c r="L149" s="12" t="str">
        <f aca="false">IF(OR(F149="",G149="",I149="",F149=G149),"",IF(E149="Short",(F149-I149)/(F149-G149),(I149-F149)/(F149-G149)))</f>
        <v/>
      </c>
      <c r="M149" s="7" t="str">
        <f aca="false">IF(L149="","",IF(L149&gt;0.05,"Win",IF(L149&lt;-0.05,"Loss","Breakeven")))</f>
        <v/>
      </c>
      <c r="N149" s="13" t="str">
        <f aca="false">IF(OR(L149="",K149=""),"",L149*K149)</f>
        <v/>
      </c>
      <c r="O149" s="9"/>
      <c r="P149" s="14"/>
      <c r="Q149" s="14"/>
    </row>
    <row r="150" customFormat="false" ht="15" hidden="false" customHeight="false" outlineLevel="0" collapsed="false">
      <c r="A150" s="7" t="str">
        <f aca="false">IF(D150="","",COUNTA($D$2:D150))</f>
        <v/>
      </c>
      <c r="B150" s="8"/>
      <c r="C150" s="9"/>
      <c r="D150" s="9"/>
      <c r="E150" s="9"/>
      <c r="F150" s="10"/>
      <c r="G150" s="10"/>
      <c r="H150" s="10"/>
      <c r="I150" s="10"/>
      <c r="J150" s="9"/>
      <c r="K150" s="11" t="str">
        <f aca="false">IF(OR(F150="",G150="",J150=""),"",J150*ABS(F150-G150))</f>
        <v/>
      </c>
      <c r="L150" s="12" t="str">
        <f aca="false">IF(OR(F150="",G150="",I150="",F150=G150),"",IF(E150="Short",(F150-I150)/(F150-G150),(I150-F150)/(F150-G150)))</f>
        <v/>
      </c>
      <c r="M150" s="7" t="str">
        <f aca="false">IF(L150="","",IF(L150&gt;0.05,"Win",IF(L150&lt;-0.05,"Loss","Breakeven")))</f>
        <v/>
      </c>
      <c r="N150" s="13" t="str">
        <f aca="false">IF(OR(L150="",K150=""),"",L150*K150)</f>
        <v/>
      </c>
      <c r="O150" s="9"/>
      <c r="P150" s="14"/>
      <c r="Q150" s="14"/>
    </row>
    <row r="151" customFormat="false" ht="15" hidden="false" customHeight="false" outlineLevel="0" collapsed="false">
      <c r="A151" s="7" t="str">
        <f aca="false">IF(D151="","",COUNTA($D$2:D151))</f>
        <v/>
      </c>
      <c r="B151" s="8"/>
      <c r="C151" s="9"/>
      <c r="D151" s="9"/>
      <c r="E151" s="9"/>
      <c r="F151" s="10"/>
      <c r="G151" s="10"/>
      <c r="H151" s="10"/>
      <c r="I151" s="10"/>
      <c r="J151" s="9"/>
      <c r="K151" s="11" t="str">
        <f aca="false">IF(OR(F151="",G151="",J151=""),"",J151*ABS(F151-G151))</f>
        <v/>
      </c>
      <c r="L151" s="12" t="str">
        <f aca="false">IF(OR(F151="",G151="",I151="",F151=G151),"",IF(E151="Short",(F151-I151)/(F151-G151),(I151-F151)/(F151-G151)))</f>
        <v/>
      </c>
      <c r="M151" s="7" t="str">
        <f aca="false">IF(L151="","",IF(L151&gt;0.05,"Win",IF(L151&lt;-0.05,"Loss","Breakeven")))</f>
        <v/>
      </c>
      <c r="N151" s="13" t="str">
        <f aca="false">IF(OR(L151="",K151=""),"",L151*K151)</f>
        <v/>
      </c>
      <c r="O151" s="9"/>
      <c r="P151" s="14"/>
      <c r="Q151" s="14"/>
    </row>
  </sheetData>
  <dataValidations count="3">
    <dataValidation allowBlank="true" errorStyle="stop" operator="between" showDropDown="false" showErrorMessage="false" showInputMessage="false" sqref="C2:C151" type="list">
      <formula1>'Setups Reference'!$A$2:$A$40</formula1>
      <formula2>0</formula2>
    </dataValidation>
    <dataValidation allowBlank="true" errorStyle="stop" operator="between" showDropDown="false" showErrorMessage="false" showInputMessage="false" sqref="E2:E151" type="list">
      <formula1>"Long,Short"</formula1>
      <formula2>0</formula2>
    </dataValidation>
    <dataValidation allowBlank="true" errorStyle="stop" operator="between" showDropDown="false" showErrorMessage="false" showInputMessage="false" sqref="O2:O15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6" t="s">
        <v>24</v>
      </c>
      <c r="B1" s="6" t="s">
        <v>45</v>
      </c>
      <c r="C1" s="6" t="s">
        <v>46</v>
      </c>
    </row>
    <row r="2" customFormat="false" ht="15" hidden="false" customHeight="false" outlineLevel="0" collapsed="false">
      <c r="A2" s="15" t="s">
        <v>47</v>
      </c>
      <c r="B2" s="15" t="s">
        <v>48</v>
      </c>
      <c r="C2" s="15" t="s">
        <v>49</v>
      </c>
    </row>
    <row r="3" customFormat="false" ht="15" hidden="false" customHeight="false" outlineLevel="0" collapsed="false">
      <c r="A3" s="15" t="s">
        <v>50</v>
      </c>
      <c r="B3" s="15" t="s">
        <v>48</v>
      </c>
      <c r="C3" s="15" t="s">
        <v>49</v>
      </c>
    </row>
    <row r="4" customFormat="false" ht="15" hidden="false" customHeight="false" outlineLevel="0" collapsed="false">
      <c r="A4" s="15" t="s">
        <v>51</v>
      </c>
      <c r="B4" s="15" t="s">
        <v>48</v>
      </c>
      <c r="C4" s="15" t="s">
        <v>49</v>
      </c>
    </row>
    <row r="5" customFormat="false" ht="15" hidden="false" customHeight="false" outlineLevel="0" collapsed="false">
      <c r="A5" s="15" t="s">
        <v>52</v>
      </c>
      <c r="B5" s="15" t="s">
        <v>48</v>
      </c>
      <c r="C5" s="15" t="s">
        <v>49</v>
      </c>
    </row>
    <row r="6" customFormat="false" ht="15" hidden="false" customHeight="false" outlineLevel="0" collapsed="false">
      <c r="A6" s="15" t="s">
        <v>53</v>
      </c>
      <c r="B6" s="15" t="s">
        <v>48</v>
      </c>
      <c r="C6" s="15" t="s">
        <v>49</v>
      </c>
    </row>
    <row r="7" customFormat="false" ht="15" hidden="false" customHeight="false" outlineLevel="0" collapsed="false">
      <c r="A7" s="15" t="s">
        <v>54</v>
      </c>
      <c r="B7" s="15" t="s">
        <v>48</v>
      </c>
      <c r="C7" s="15" t="s">
        <v>49</v>
      </c>
    </row>
    <row r="8" customFormat="false" ht="15" hidden="false" customHeight="false" outlineLevel="0" collapsed="false">
      <c r="A8" s="15" t="s">
        <v>39</v>
      </c>
      <c r="B8" s="15" t="s">
        <v>55</v>
      </c>
      <c r="C8" s="15" t="s">
        <v>56</v>
      </c>
    </row>
    <row r="9" customFormat="false" ht="15" hidden="false" customHeight="false" outlineLevel="0" collapsed="false">
      <c r="A9" s="15" t="s">
        <v>57</v>
      </c>
      <c r="B9" s="15" t="s">
        <v>55</v>
      </c>
      <c r="C9" s="15" t="s">
        <v>56</v>
      </c>
    </row>
    <row r="10" customFormat="false" ht="15" hidden="false" customHeight="false" outlineLevel="0" collapsed="false">
      <c r="A10" s="15" t="s">
        <v>58</v>
      </c>
      <c r="B10" s="15" t="s">
        <v>55</v>
      </c>
      <c r="C10" s="15" t="s">
        <v>56</v>
      </c>
    </row>
    <row r="11" customFormat="false" ht="15" hidden="false" customHeight="false" outlineLevel="0" collapsed="false">
      <c r="A11" s="15" t="s">
        <v>59</v>
      </c>
      <c r="B11" s="15" t="s">
        <v>55</v>
      </c>
      <c r="C11" s="15" t="s">
        <v>56</v>
      </c>
    </row>
    <row r="12" customFormat="false" ht="15" hidden="false" customHeight="false" outlineLevel="0" collapsed="false">
      <c r="A12" s="15" t="s">
        <v>60</v>
      </c>
      <c r="B12" s="15" t="s">
        <v>55</v>
      </c>
      <c r="C12" s="15" t="s">
        <v>56</v>
      </c>
    </row>
    <row r="13" customFormat="false" ht="15" hidden="false" customHeight="false" outlineLevel="0" collapsed="false">
      <c r="A13" s="15" t="s">
        <v>61</v>
      </c>
      <c r="B13" s="15" t="s">
        <v>55</v>
      </c>
      <c r="C13" s="15" t="s">
        <v>56</v>
      </c>
    </row>
    <row r="14" customFormat="false" ht="15" hidden="false" customHeight="false" outlineLevel="0" collapsed="false">
      <c r="A14" s="15" t="s">
        <v>62</v>
      </c>
      <c r="B14" s="15" t="s">
        <v>55</v>
      </c>
      <c r="C14" s="15" t="s">
        <v>56</v>
      </c>
    </row>
    <row r="15" customFormat="false" ht="15" hidden="false" customHeight="false" outlineLevel="0" collapsed="false">
      <c r="A15" s="15" t="s">
        <v>63</v>
      </c>
      <c r="B15" s="15" t="s">
        <v>55</v>
      </c>
      <c r="C15" s="15" t="s">
        <v>56</v>
      </c>
    </row>
    <row r="16" customFormat="false" ht="15" hidden="false" customHeight="false" outlineLevel="0" collapsed="false">
      <c r="A16" s="15" t="s">
        <v>64</v>
      </c>
      <c r="B16" s="15" t="s">
        <v>65</v>
      </c>
      <c r="C16" s="15" t="s">
        <v>65</v>
      </c>
    </row>
    <row r="18" customFormat="false" ht="15" hidden="false" customHeight="false" outlineLevel="0" collapsed="false">
      <c r="A18" s="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</cols>
  <sheetData>
    <row r="2" customFormat="false" ht="19.7" hidden="false" customHeight="false" outlineLevel="0" collapsed="false">
      <c r="B2" s="1" t="s">
        <v>67</v>
      </c>
    </row>
    <row r="3" customFormat="false" ht="15" hidden="false" customHeight="false" outlineLevel="0" collapsed="false">
      <c r="B3" s="2" t="s">
        <v>68</v>
      </c>
    </row>
    <row r="6" customFormat="false" ht="15" hidden="false" customHeight="false" outlineLevel="0" collapsed="false">
      <c r="B6" s="16" t="s">
        <v>69</v>
      </c>
      <c r="C6" s="17" t="n">
        <f aca="false">COUNTIF('Trade Log'!$D$2:$D$151,"?*")</f>
        <v>1</v>
      </c>
    </row>
    <row r="7" customFormat="false" ht="15" hidden="false" customHeight="false" outlineLevel="0" collapsed="false">
      <c r="B7" s="16" t="s">
        <v>70</v>
      </c>
      <c r="C7" s="17" t="n">
        <f aca="false">COUNTIF('Trade Log'!$M$2:$M$151,"Win")</f>
        <v>1</v>
      </c>
    </row>
    <row r="8" customFormat="false" ht="15" hidden="false" customHeight="false" outlineLevel="0" collapsed="false">
      <c r="B8" s="16" t="s">
        <v>71</v>
      </c>
      <c r="C8" s="17" t="n">
        <f aca="false">COUNTIF('Trade Log'!$M$2:$M$151,"Loss")</f>
        <v>0</v>
      </c>
    </row>
    <row r="9" customFormat="false" ht="15" hidden="false" customHeight="false" outlineLevel="0" collapsed="false">
      <c r="B9" s="16" t="s">
        <v>72</v>
      </c>
      <c r="C9" s="17" t="n">
        <f aca="false">COUNTIF('Trade Log'!$M$2:$M$151,"Breakeven")</f>
        <v>0</v>
      </c>
    </row>
    <row r="10" customFormat="false" ht="15" hidden="false" customHeight="false" outlineLevel="0" collapsed="false">
      <c r="B10" s="16" t="s">
        <v>73</v>
      </c>
      <c r="C10" s="18" t="n">
        <f aca="false">IFERROR(C7/C6,0)</f>
        <v>1</v>
      </c>
    </row>
    <row r="11" customFormat="false" ht="15" hidden="false" customHeight="false" outlineLevel="0" collapsed="false">
      <c r="B11" s="16" t="s">
        <v>74</v>
      </c>
      <c r="C11" s="19" t="n">
        <f aca="false">IFERROR(AVERAGEIF('Trade Log'!$M$2:$M$151,"Win",'Trade Log'!$L$2:$L$151),0)</f>
        <v>1.34782608695638</v>
      </c>
    </row>
    <row r="12" customFormat="false" ht="15" hidden="false" customHeight="false" outlineLevel="0" collapsed="false">
      <c r="B12" s="16" t="s">
        <v>75</v>
      </c>
      <c r="C12" s="19" t="n">
        <f aca="false">IFERROR(AVERAGEIF('Trade Log'!$M$2:$M$151,"Loss",'Trade Log'!$L$2:$L$151),0)</f>
        <v>0</v>
      </c>
    </row>
    <row r="13" customFormat="false" ht="15" hidden="false" customHeight="false" outlineLevel="0" collapsed="false">
      <c r="B13" s="16" t="s">
        <v>76</v>
      </c>
      <c r="C13" s="20" t="n">
        <f aca="false">IFERROR(C11/ABS(C12),0)</f>
        <v>0</v>
      </c>
    </row>
    <row r="14" customFormat="false" ht="15" hidden="false" customHeight="false" outlineLevel="0" collapsed="false">
      <c r="B14" s="16" t="s">
        <v>77</v>
      </c>
      <c r="C14" s="19" t="n">
        <f aca="false">IFERROR((C10*C11)+((1-C10)*C12),0)</f>
        <v>1.34782608695638</v>
      </c>
    </row>
    <row r="15" customFormat="false" ht="15" hidden="false" customHeight="false" outlineLevel="0" collapsed="false">
      <c r="B15" s="16" t="s">
        <v>78</v>
      </c>
      <c r="C15" s="21" t="n">
        <f aca="false">SUMIF('Trade Log'!$N$2:$N$151,"&gt;0")</f>
        <v>15.4999999999995</v>
      </c>
    </row>
    <row r="16" customFormat="false" ht="15" hidden="false" customHeight="false" outlineLevel="0" collapsed="false">
      <c r="B16" s="16" t="s">
        <v>79</v>
      </c>
      <c r="C16" s="21" t="n">
        <f aca="false">SUMIF('Trade Log'!$N$2:$N$151,"&lt;0")</f>
        <v>0</v>
      </c>
    </row>
    <row r="17" customFormat="false" ht="15" hidden="false" customHeight="false" outlineLevel="0" collapsed="false">
      <c r="B17" s="16" t="s">
        <v>80</v>
      </c>
      <c r="C17" s="20" t="n">
        <f aca="false">IFERROR(C15/ABS(C16),0)</f>
        <v>0</v>
      </c>
    </row>
    <row r="18" customFormat="false" ht="15" hidden="false" customHeight="false" outlineLevel="0" collapsed="false">
      <c r="B18" s="16" t="s">
        <v>81</v>
      </c>
      <c r="C18" s="22" t="n">
        <f aca="false">SUMIF('Trade Log'!$N$2:$N$151,"&gt;-999999999")</f>
        <v>15.4999999999995</v>
      </c>
    </row>
    <row r="19" customFormat="false" ht="15" hidden="false" customHeight="false" outlineLevel="0" collapsed="false">
      <c r="B19" s="16" t="s">
        <v>82</v>
      </c>
      <c r="C19" s="18" t="n">
        <f aca="false">IFERROR(COUNTIF('Trade Log'!$O$2:$O$151,"Y")/(COUNTIF('Trade Log'!$O$2:$O$151,"Y")+COUNTIF('Trade Log'!$O$2:$O$151,"N")),0)</f>
        <v>1</v>
      </c>
    </row>
    <row r="21" customFormat="false" ht="15" hidden="false" customHeight="false" outlineLevel="0" collapsed="false">
      <c r="B21" s="23" t="s">
        <v>83</v>
      </c>
    </row>
    <row r="22" customFormat="false" ht="15" hidden="false" customHeight="false" outlineLevel="0" collapsed="false">
      <c r="B22" s="6" t="s">
        <v>84</v>
      </c>
      <c r="C22" s="6" t="s">
        <v>29</v>
      </c>
      <c r="D22" s="6" t="s">
        <v>85</v>
      </c>
      <c r="E22" s="6" t="s">
        <v>86</v>
      </c>
    </row>
    <row r="23" customFormat="false" ht="15" hidden="false" customHeight="false" outlineLevel="0" collapsed="false">
      <c r="B23" s="15" t="s">
        <v>87</v>
      </c>
      <c r="C23" s="7" t="s">
        <v>88</v>
      </c>
      <c r="D23" s="17" t="n">
        <f aca="false">C6</f>
        <v>1</v>
      </c>
      <c r="E23" s="24" t="str">
        <f aca="false">IF(C6&gt;=100,"Yes","Not yet")</f>
        <v>Not yet</v>
      </c>
    </row>
    <row r="24" customFormat="false" ht="23.85" hidden="false" customHeight="false" outlineLevel="0" collapsed="false">
      <c r="B24" s="15" t="s">
        <v>89</v>
      </c>
      <c r="C24" s="7" t="s">
        <v>90</v>
      </c>
      <c r="D24" s="19" t="n">
        <f aca="false">C14</f>
        <v>1.34782608695638</v>
      </c>
      <c r="E24" s="24" t="str">
        <f aca="false">IF(AND(C14&gt;0,C6&gt;=30),"Yes","Not yet")</f>
        <v>Not yet</v>
      </c>
    </row>
    <row r="25" customFormat="false" ht="15" hidden="false" customHeight="false" outlineLevel="0" collapsed="false">
      <c r="B25" s="15" t="s">
        <v>91</v>
      </c>
      <c r="C25" s="7" t="s">
        <v>92</v>
      </c>
      <c r="D25" s="20" t="n">
        <f aca="false">C17</f>
        <v>0</v>
      </c>
      <c r="E25" s="24" t="str">
        <f aca="false">IF(C17&gt;1,"Yes","Not yet")</f>
        <v>Not yet</v>
      </c>
    </row>
    <row r="26" customFormat="false" ht="15" hidden="false" customHeight="false" outlineLevel="0" collapsed="false">
      <c r="B26" s="15" t="s">
        <v>93</v>
      </c>
      <c r="C26" s="7" t="s">
        <v>94</v>
      </c>
      <c r="D26" s="18" t="n">
        <f aca="false">C19</f>
        <v>1</v>
      </c>
      <c r="E26" s="24" t="str">
        <f aca="false">IF(C19&gt;=0.9,"Yes","Not yet")</f>
        <v>Yes</v>
      </c>
    </row>
  </sheetData>
  <conditionalFormatting sqref="E23:E26">
    <cfRule type="cellIs" priority="2" operator="equal" aboveAverage="0" equalAverage="0" bottom="0" percent="0" rank="0" text="" dxfId="0">
      <formula>"Yes"</formula>
    </cfRule>
    <cfRule type="cellIs" priority="3" operator="equal" aboveAverage="0" equalAverage="0" bottom="0" percent="0" rank="0" text="" dxfId="1">
      <formula>"Not yet"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2026-08-27T21:08:57Z</dcterms:created>
  <dc:creator>openpyxl</dc:creator>
  <dc:description/>
  <dc:language>en-US</dc:language>
  <cp:lastModifiedBy/>
  <dcterms:modified xsi:type="dcterms:W3CDTF">2026-08-27T21:08:57Z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